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mc:AlternateContent xmlns:mc="http://schemas.openxmlformats.org/markup-compatibility/2006">
    <mc:Choice Requires="x15">
      <x15ac:absPath xmlns:x15ac="http://schemas.microsoft.com/office/spreadsheetml/2010/11/ac" url="D:\data analysis\projects\2\"/>
    </mc:Choice>
  </mc:AlternateContent>
  <xr:revisionPtr revIDLastSave="0" documentId="8_{29D2C2FA-3D8C-45EF-B73D-A570FD3BC9E3}" xr6:coauthVersionLast="47" xr6:coauthVersionMax="47" xr10:uidLastSave="{00000000-0000-0000-0000-000000000000}"/>
  <bookViews>
    <workbookView xWindow="-108" yWindow="-108" windowWidth="23256" windowHeight="12576" firstSheet="2" activeTab="6" xr2:uid="{5ACC0926-DC81-495A-A31F-FFEE6D09A9B0}"/>
  </bookViews>
  <sheets>
    <sheet name="classic" sheetId="1" r:id="rId1"/>
    <sheet name="date &amp; Incidents" sheetId="5" r:id="rId2"/>
    <sheet name="Incidents" sheetId="4" r:id="rId3"/>
    <sheet name="high location" sheetId="2" r:id="rId4"/>
    <sheet name="time" sheetId="3" r:id="rId5"/>
    <sheet name="Incidents &amp; time" sheetId="7" r:id="rId6"/>
    <sheet name="dashboard" sheetId="6" r:id="rId7"/>
  </sheets>
  <definedNames>
    <definedName name="_xlcn.WorksheetConnection_Traffic_Volume.xlsxrelation1" hidden="1">relation[]</definedName>
    <definedName name="ExternalData_1" localSheetId="0" hidden="1">classic!$D$1:$E$101</definedName>
    <definedName name="Slicer_Date__Month">#N/A</definedName>
    <definedName name="Slicer_Location">#N/A</definedName>
    <definedName name="Slicer_Time">#N/A</definedName>
  </definedNames>
  <calcPr calcId="191029"/>
  <pivotCaches>
    <pivotCache cacheId="0" r:id="rId8"/>
    <pivotCache cacheId="1" r:id="rId9"/>
    <pivotCache cacheId="2" r:id="rId10"/>
    <pivotCache cacheId="3" r:id="rId11"/>
    <pivotCache cacheId="4" r:id="rId12"/>
  </pivotCaches>
  <extLst>
    <ext xmlns:x14="http://schemas.microsoft.com/office/spreadsheetml/2009/9/main" uri="{876F7934-8845-4945-9796-88D515C7AA90}">
      <x14:pivotCaches>
        <pivotCache cacheId="5"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5c479698-e804-46ee-a37e-6bbf554c4bc3" name="Sheet1" connection="Query - Sheet1"/>
          <x15:modelTable id="relation" name="relation" connection="WorksheetConnection_Traffic_Volume.xlsx!relation"/>
        </x15:modelTables>
        <x15:extLst>
          <ext xmlns:x16="http://schemas.microsoft.com/office/spreadsheetml/2014/11/main" uri="{9835A34E-60A6-4A7C-AAB8-D5F71C897F49}">
            <x16:modelTimeGroupings>
              <x16:modelTimeGrouping tableName="relation"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9AF54F-F78A-437D-BF66-F73B6F4D38E1}" keepAlive="1" name="ModelConnection_ExternalData_1" description="Data Model" type="5" refreshedVersion="8" minRefreshableVersion="5" saveData="1">
    <dbPr connection="Data Model Connection" command="Sheet1" commandType="3"/>
    <extLst>
      <ext xmlns:x15="http://schemas.microsoft.com/office/spreadsheetml/2010/11/main" uri="{DE250136-89BD-433C-8126-D09CA5730AF9}">
        <x15:connection id="" model="1"/>
      </ext>
    </extLst>
  </connection>
  <connection id="2" xr16:uid="{CC75F7B5-978A-41C4-AB31-0572706C1DF6}" name="Query - Sheet1" description="Connection to the 'Sheet1' query in the workbook." type="100" refreshedVersion="8" minRefreshableVersion="5">
    <extLst>
      <ext xmlns:x15="http://schemas.microsoft.com/office/spreadsheetml/2010/11/main" uri="{DE250136-89BD-433C-8126-D09CA5730AF9}">
        <x15:connection id="3321b74a-a6a6-4052-bacb-c2db89817c08">
          <x15:oledbPr connection="Provider=Microsoft.Mashup.OleDb.1;Data Source=$Workbook$;Location=Sheet1;Extended Properties=&quot;&quot;">
            <x15:dbTables>
              <x15:dbTable name="Sheet1"/>
            </x15:dbTables>
          </x15:oledbPr>
        </x15:connection>
      </ext>
    </extLst>
  </connection>
  <connection id="3" xr16:uid="{18AD6226-F04B-4494-94C6-61BEAB3C32D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604BB040-656A-4BC3-B55F-CBCB276874E9}" name="WorksheetConnection_Traffic_Volume.xlsx!relation" type="102" refreshedVersion="8" minRefreshableVersion="5">
    <extLst>
      <ext xmlns:x15="http://schemas.microsoft.com/office/spreadsheetml/2010/11/main" uri="{DE250136-89BD-433C-8126-D09CA5730AF9}">
        <x15:connection id="relation" autoDelete="1">
          <x15:rangePr sourceName="_xlcn.WorksheetConnection_Traffic_Volume.xlsxrelation1"/>
        </x15:connection>
      </ext>
    </extLst>
  </connection>
</connections>
</file>

<file path=xl/sharedStrings.xml><?xml version="1.0" encoding="utf-8"?>
<sst xmlns="http://schemas.openxmlformats.org/spreadsheetml/2006/main" count="239" uniqueCount="20">
  <si>
    <t>Date</t>
  </si>
  <si>
    <t>Time</t>
  </si>
  <si>
    <t>Location</t>
  </si>
  <si>
    <t>Traffic_Volume</t>
  </si>
  <si>
    <t>Incidents</t>
  </si>
  <si>
    <t>Evening</t>
  </si>
  <si>
    <t>Downtown</t>
  </si>
  <si>
    <t>Suburbs</t>
  </si>
  <si>
    <t>Highway</t>
  </si>
  <si>
    <t>Morning</t>
  </si>
  <si>
    <t>Column Labels</t>
  </si>
  <si>
    <t>Grand Total</t>
  </si>
  <si>
    <t>Row Labels</t>
  </si>
  <si>
    <t>Sum of Traffic_Volume</t>
  </si>
  <si>
    <t>Sum of Incidents</t>
  </si>
  <si>
    <t>Jan</t>
  </si>
  <si>
    <t>Feb</t>
  </si>
  <si>
    <t>Mar</t>
  </si>
  <si>
    <t>Apr</t>
  </si>
  <si>
    <t>SUM of  Incidents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</si>
</sst>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entury Gothic"/>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cellXfs>
  <cellStyles count="1">
    <cellStyle name="Normal" xfId="0" builtinId="0"/>
  </cellStyles>
  <dxfs count="3">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10" Type="http://schemas.openxmlformats.org/officeDocument/2006/relationships/pivotCacheDefinition" Target="pivotCache/pivotCacheDefinition3.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[Traffic_Volume dashboard.xlsx]date &amp; Incidents!Incidents date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Incidents date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'date &amp; Incidents'!$B$1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'date &amp; Incidents'!$A$2:$A$6</c:f>
              <c:strCache>
                <c:ptCount val="4"/>
                <c:pt idx="0">
                  <c:v>Jan</c:v>
                </c:pt>
                <c:pt idx="1">
                  <c:v>Feb</c:v>
                </c:pt>
                <c:pt idx="2">
                  <c:v>Mar</c:v>
                </c:pt>
                <c:pt idx="3">
                  <c:v>Apr</c:v>
                </c:pt>
              </c:strCache>
            </c:strRef>
          </c:cat>
          <c:val>
            <c:numRef>
              <c:f>'date &amp; Incidents'!$B$2:$B$6</c:f>
              <c:numCache>
                <c:formatCode>General</c:formatCode>
                <c:ptCount val="4"/>
                <c:pt idx="0">
                  <c:v>57</c:v>
                </c:pt>
                <c:pt idx="1">
                  <c:v>65</c:v>
                </c:pt>
                <c:pt idx="2">
                  <c:v>57</c:v>
                </c:pt>
                <c:pt idx="3">
                  <c:v>14</c:v>
                </c:pt>
              </c:numCache>
            </c:numRef>
          </c:val>
          <c:smooth val="0"/>
          <c:extLst>
            <c:ext xmlns:c16="http://schemas.microsoft.com/office/drawing/2014/chart" uri="{C3380CC4-5D6E-409C-BE32-E72D297353CC}">
              <c16:uniqueId val="{00000002-E29B-46E4-ABB6-92CD1551F225}"/>
            </c:ext>
          </c:extLst>
        </c:ser>
        <c:dLbls>
          <c:dLblPos val="t"/>
          <c:showLegendKey val="0"/>
          <c:showVal val="1"/>
          <c:showCatName val="0"/>
          <c:showSerName val="0"/>
          <c:showPercent val="0"/>
          <c:showBubbleSize val="0"/>
        </c:dLbls>
        <c:smooth val="0"/>
        <c:axId val="642059679"/>
        <c:axId val="642056319"/>
      </c:lineChart>
      <c:catAx>
        <c:axId val="642059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056319"/>
        <c:crosses val="autoZero"/>
        <c:auto val="1"/>
        <c:lblAlgn val="ctr"/>
        <c:lblOffset val="100"/>
        <c:noMultiLvlLbl val="0"/>
      </c:catAx>
      <c:valAx>
        <c:axId val="642056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059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[Traffic_Volume dashboard.xlsx]Incidents!Incidents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Incidents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Incidents!$B$1:$B$2</c:f>
              <c:strCache>
                <c:ptCount val="1"/>
                <c:pt idx="0">
                  <c:v>Evening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Incidents!$A$3:$A$6</c:f>
              <c:strCache>
                <c:ptCount val="3"/>
                <c:pt idx="0">
                  <c:v>Downtown</c:v>
                </c:pt>
                <c:pt idx="1">
                  <c:v>Highway</c:v>
                </c:pt>
                <c:pt idx="2">
                  <c:v>Suburbs</c:v>
                </c:pt>
              </c:strCache>
            </c:strRef>
          </c:cat>
          <c:val>
            <c:numRef>
              <c:f>Incidents!$B$3:$B$6</c:f>
              <c:numCache>
                <c:formatCode>General</c:formatCode>
                <c:ptCount val="3"/>
                <c:pt idx="0">
                  <c:v>40</c:v>
                </c:pt>
                <c:pt idx="1">
                  <c:v>41</c:v>
                </c:pt>
                <c:pt idx="2">
                  <c:v>26</c:v>
                </c:pt>
              </c:numCache>
            </c:numRef>
          </c:val>
          <c:extLst>
            <c:ext xmlns:c16="http://schemas.microsoft.com/office/drawing/2014/chart" uri="{C3380CC4-5D6E-409C-BE32-E72D297353CC}">
              <c16:uniqueId val="{00000000-7C32-473C-B3F0-B243A85DC786}"/>
            </c:ext>
          </c:extLst>
        </c:ser>
        <c:ser>
          <c:idx val="1"/>
          <c:order val="1"/>
          <c:tx>
            <c:strRef>
              <c:f>Incidents!$C$1:$C$2</c:f>
              <c:strCache>
                <c:ptCount val="1"/>
                <c:pt idx="0">
                  <c:v>Morning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Incidents!$A$3:$A$6</c:f>
              <c:strCache>
                <c:ptCount val="3"/>
                <c:pt idx="0">
                  <c:v>Downtown</c:v>
                </c:pt>
                <c:pt idx="1">
                  <c:v>Highway</c:v>
                </c:pt>
                <c:pt idx="2">
                  <c:v>Suburbs</c:v>
                </c:pt>
              </c:strCache>
            </c:strRef>
          </c:cat>
          <c:val>
            <c:numRef>
              <c:f>Incidents!$C$3:$C$6</c:f>
              <c:numCache>
                <c:formatCode>General</c:formatCode>
                <c:ptCount val="3"/>
                <c:pt idx="0">
                  <c:v>38</c:v>
                </c:pt>
                <c:pt idx="1">
                  <c:v>21</c:v>
                </c:pt>
                <c:pt idx="2">
                  <c:v>27</c:v>
                </c:pt>
              </c:numCache>
            </c:numRef>
          </c:val>
          <c:extLst>
            <c:ext xmlns:c16="http://schemas.microsoft.com/office/drawing/2014/chart" uri="{C3380CC4-5D6E-409C-BE32-E72D297353CC}">
              <c16:uniqueId val="{00000006-7C32-473C-B3F0-B243A85DC786}"/>
            </c:ext>
          </c:extLst>
        </c:ser>
        <c:dLbls>
          <c:dLblPos val="outEnd"/>
          <c:showLegendKey val="0"/>
          <c:showVal val="1"/>
          <c:showCatName val="0"/>
          <c:showSerName val="0"/>
          <c:showPercent val="0"/>
          <c:showBubbleSize val="0"/>
        </c:dLbls>
        <c:gapWidth val="219"/>
        <c:overlap val="-27"/>
        <c:axId val="1132511743"/>
        <c:axId val="1132512223"/>
      </c:barChart>
      <c:catAx>
        <c:axId val="113251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512223"/>
        <c:crosses val="autoZero"/>
        <c:auto val="1"/>
        <c:lblAlgn val="ctr"/>
        <c:lblOffset val="100"/>
        <c:noMultiLvlLbl val="0"/>
      </c:catAx>
      <c:valAx>
        <c:axId val="1132512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51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[Traffic_Volume dashboard.xlsx]high location!location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Traffic</a:t>
            </a:r>
            <a:r>
              <a:rPr lang="en-US" baseline="0"/>
              <a:t> </a:t>
            </a:r>
            <a:r>
              <a:rPr lang="en-US"/>
              <a:t>Volume &amp; location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 location'!$B$2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'high location'!$A$3:$A$6</c:f>
              <c:strCache>
                <c:ptCount val="3"/>
                <c:pt idx="0">
                  <c:v>Downtown</c:v>
                </c:pt>
                <c:pt idx="1">
                  <c:v>Highway</c:v>
                </c:pt>
                <c:pt idx="2">
                  <c:v>Suburbs</c:v>
                </c:pt>
              </c:strCache>
            </c:strRef>
          </c:cat>
          <c:val>
            <c:numRef>
              <c:f>'high location'!$B$3:$B$6</c:f>
              <c:numCache>
                <c:formatCode>General</c:formatCode>
                <c:ptCount val="3"/>
                <c:pt idx="0">
                  <c:v>40811</c:v>
                </c:pt>
                <c:pt idx="1">
                  <c:v>33802</c:v>
                </c:pt>
                <c:pt idx="2">
                  <c:v>35999</c:v>
                </c:pt>
              </c:numCache>
            </c:numRef>
          </c:val>
          <c:extLst>
            <c:ext xmlns:c16="http://schemas.microsoft.com/office/drawing/2014/chart" uri="{C3380CC4-5D6E-409C-BE32-E72D297353CC}">
              <c16:uniqueId val="{00000000-A05C-4E1B-8A91-50E74D5378D0}"/>
            </c:ext>
          </c:extLst>
        </c:ser>
        <c:dLbls>
          <c:dLblPos val="outEnd"/>
          <c:showLegendKey val="0"/>
          <c:showVal val="1"/>
          <c:showCatName val="0"/>
          <c:showSerName val="0"/>
          <c:showPercent val="0"/>
          <c:showBubbleSize val="0"/>
        </c:dLbls>
        <c:gapWidth val="219"/>
        <c:overlap val="-27"/>
        <c:axId val="1730411487"/>
        <c:axId val="1730415327"/>
      </c:barChart>
      <c:catAx>
        <c:axId val="17304114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415327"/>
        <c:crosses val="autoZero"/>
        <c:auto val="1"/>
        <c:lblAlgn val="ctr"/>
        <c:lblOffset val="100"/>
        <c:noMultiLvlLbl val="0"/>
      </c:catAx>
      <c:valAx>
        <c:axId val="1730415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411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[Traffic_Volume dashboard.xlsx]time!time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kern="1200" spc="0" baseline="0">
                <a:solidFill>
                  <a:sysClr val="windowText" lastClr="000000">
                    <a:lumMod val="65000"/>
                    <a:lumOff val="35000"/>
                  </a:sysClr>
                </a:solidFill>
              </a:rPr>
              <a:t>Traffic_Volume </a:t>
            </a:r>
            <a:r>
              <a:rPr lang="en-US"/>
              <a:t>&amp; Time</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time!$B$1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EF-4A6C-AD4A-1740178B8D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EF-4A6C-AD4A-1740178B8D2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time!$A$2:$A$4</c:f>
              <c:strCache>
                <c:ptCount val="2"/>
                <c:pt idx="0">
                  <c:v>Evening</c:v>
                </c:pt>
                <c:pt idx="1">
                  <c:v>Morning</c:v>
                </c:pt>
              </c:strCache>
            </c:strRef>
          </c:cat>
          <c:val>
            <c:numRef>
              <c:f>time!$B$2:$B$4</c:f>
              <c:numCache>
                <c:formatCode>General</c:formatCode>
                <c:ptCount val="2"/>
                <c:pt idx="0">
                  <c:v>60406</c:v>
                </c:pt>
                <c:pt idx="1">
                  <c:v>50206</c:v>
                </c:pt>
              </c:numCache>
            </c:numRef>
          </c:val>
          <c:extLst>
            <c:ext xmlns:c16="http://schemas.microsoft.com/office/drawing/2014/chart" uri="{C3380CC4-5D6E-409C-BE32-E72D297353CC}">
              <c16:uniqueId val="{00000000-D114-49C2-B000-D1CC6C6318F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[Traffic_Volume dashboard.xlsx]high location!location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Traffic</a:t>
            </a:r>
            <a:r>
              <a:rPr lang="en-US" baseline="0"/>
              <a:t> </a:t>
            </a:r>
            <a:r>
              <a:rPr lang="en-US"/>
              <a:t>Volume &amp; location</a:t>
            </a:r>
          </a:p>
          <a:p>
            <a:pPr>
              <a:defRPr/>
            </a:pPr>
            <a:endParaRPr lang="en-US"/>
          </a:p>
        </c:rich>
      </c:tx>
      <c:layout>
        <c:manualLayout>
          <c:xMode val="edge"/>
          <c:yMode val="edge"/>
          <c:x val="0.32827777777777778"/>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 location'!$B$2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'high location'!$A$3:$A$6</c:f>
              <c:strCache>
                <c:ptCount val="3"/>
                <c:pt idx="0">
                  <c:v>Downtown</c:v>
                </c:pt>
                <c:pt idx="1">
                  <c:v>Highway</c:v>
                </c:pt>
                <c:pt idx="2">
                  <c:v>Suburbs</c:v>
                </c:pt>
              </c:strCache>
            </c:strRef>
          </c:cat>
          <c:val>
            <c:numRef>
              <c:f>'high location'!$B$3:$B$6</c:f>
              <c:numCache>
                <c:formatCode>General</c:formatCode>
                <c:ptCount val="3"/>
                <c:pt idx="0">
                  <c:v>40811</c:v>
                </c:pt>
                <c:pt idx="1">
                  <c:v>33802</c:v>
                </c:pt>
                <c:pt idx="2">
                  <c:v>35999</c:v>
                </c:pt>
              </c:numCache>
            </c:numRef>
          </c:val>
          <c:extLst>
            <c:ext xmlns:c16="http://schemas.microsoft.com/office/drawing/2014/chart" uri="{C3380CC4-5D6E-409C-BE32-E72D297353CC}">
              <c16:uniqueId val="{00000000-507C-4A44-B8CE-7EA584CE77BD}"/>
            </c:ext>
          </c:extLst>
        </c:ser>
        <c:dLbls>
          <c:dLblPos val="outEnd"/>
          <c:showLegendKey val="0"/>
          <c:showVal val="1"/>
          <c:showCatName val="0"/>
          <c:showSerName val="0"/>
          <c:showPercent val="0"/>
          <c:showBubbleSize val="0"/>
        </c:dLbls>
        <c:gapWidth val="219"/>
        <c:axId val="1730411487"/>
        <c:axId val="1730415327"/>
      </c:barChart>
      <c:catAx>
        <c:axId val="17304114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415327"/>
        <c:crosses val="autoZero"/>
        <c:auto val="1"/>
        <c:lblAlgn val="ctr"/>
        <c:lblOffset val="100"/>
        <c:noMultiLvlLbl val="0"/>
      </c:catAx>
      <c:valAx>
        <c:axId val="173041532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411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[Traffic_Volume dashboard.xlsx]date &amp; Incidents!Incidents date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Incidents date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'date &amp; Incidents'!$B$1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'date &amp; Incidents'!$A$2:$A$6</c:f>
              <c:strCache>
                <c:ptCount val="4"/>
                <c:pt idx="0">
                  <c:v>Jan</c:v>
                </c:pt>
                <c:pt idx="1">
                  <c:v>Feb</c:v>
                </c:pt>
                <c:pt idx="2">
                  <c:v>Mar</c:v>
                </c:pt>
                <c:pt idx="3">
                  <c:v>Apr</c:v>
                </c:pt>
              </c:strCache>
            </c:strRef>
          </c:cat>
          <c:val>
            <c:numRef>
              <c:f>'date &amp; Incidents'!$B$2:$B$6</c:f>
              <c:numCache>
                <c:formatCode>General</c:formatCode>
                <c:ptCount val="4"/>
                <c:pt idx="0">
                  <c:v>57</c:v>
                </c:pt>
                <c:pt idx="1">
                  <c:v>65</c:v>
                </c:pt>
                <c:pt idx="2">
                  <c:v>57</c:v>
                </c:pt>
                <c:pt idx="3">
                  <c:v>14</c:v>
                </c:pt>
              </c:numCache>
            </c:numRef>
          </c:val>
          <c:smooth val="0"/>
          <c:extLst>
            <c:ext xmlns:c16="http://schemas.microsoft.com/office/drawing/2014/chart" uri="{C3380CC4-5D6E-409C-BE32-E72D297353CC}">
              <c16:uniqueId val="{00000001-C3AA-428F-B6DB-EA71EF9A39DB}"/>
            </c:ext>
          </c:extLst>
        </c:ser>
        <c:dLbls>
          <c:dLblPos val="t"/>
          <c:showLegendKey val="0"/>
          <c:showVal val="1"/>
          <c:showCatName val="0"/>
          <c:showSerName val="0"/>
          <c:showPercent val="0"/>
          <c:showBubbleSize val="0"/>
        </c:dLbls>
        <c:smooth val="0"/>
        <c:axId val="642059679"/>
        <c:axId val="642056319"/>
      </c:lineChart>
      <c:catAx>
        <c:axId val="642059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accent1"/>
                </a:solidFill>
                <a:effectLst/>
                <a:latin typeface="+mn-lt"/>
                <a:ea typeface="+mn-ea"/>
                <a:cs typeface="+mn-cs"/>
              </a:defRPr>
            </a:pPr>
            <a:endParaRPr lang="en-US"/>
          </a:p>
        </c:txPr>
        <c:crossAx val="642056319"/>
        <c:crosses val="autoZero"/>
        <c:auto val="1"/>
        <c:lblAlgn val="ctr"/>
        <c:lblOffset val="100"/>
        <c:noMultiLvlLbl val="0"/>
      </c:catAx>
      <c:valAx>
        <c:axId val="6420563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059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[Traffic_Volume dashboard.xlsx]Incidents!Incidents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Incidents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Incidents!$B$1:$B$2</c:f>
              <c:strCache>
                <c:ptCount val="1"/>
                <c:pt idx="0">
                  <c:v>Evening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Incidents!$A$3:$A$6</c:f>
              <c:strCache>
                <c:ptCount val="3"/>
                <c:pt idx="0">
                  <c:v>Downtown</c:v>
                </c:pt>
                <c:pt idx="1">
                  <c:v>Highway</c:v>
                </c:pt>
                <c:pt idx="2">
                  <c:v>Suburbs</c:v>
                </c:pt>
              </c:strCache>
            </c:strRef>
          </c:cat>
          <c:val>
            <c:numRef>
              <c:f>Incidents!$B$3:$B$6</c:f>
              <c:numCache>
                <c:formatCode>General</c:formatCode>
                <c:ptCount val="3"/>
                <c:pt idx="0">
                  <c:v>40</c:v>
                </c:pt>
                <c:pt idx="1">
                  <c:v>41</c:v>
                </c:pt>
                <c:pt idx="2">
                  <c:v>26</c:v>
                </c:pt>
              </c:numCache>
            </c:numRef>
          </c:val>
          <c:extLst>
            <c:ext xmlns:c16="http://schemas.microsoft.com/office/drawing/2014/chart" uri="{C3380CC4-5D6E-409C-BE32-E72D297353CC}">
              <c16:uniqueId val="{00000000-7F2D-48D6-8B83-F1E3638824E4}"/>
            </c:ext>
          </c:extLst>
        </c:ser>
        <c:ser>
          <c:idx val="1"/>
          <c:order val="1"/>
          <c:tx>
            <c:strRef>
              <c:f>Incidents!$C$1:$C$2</c:f>
              <c:strCache>
                <c:ptCount val="1"/>
                <c:pt idx="0">
                  <c:v>Morning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Incidents!$A$3:$A$6</c:f>
              <c:strCache>
                <c:ptCount val="3"/>
                <c:pt idx="0">
                  <c:v>Downtown</c:v>
                </c:pt>
                <c:pt idx="1">
                  <c:v>Highway</c:v>
                </c:pt>
                <c:pt idx="2">
                  <c:v>Suburbs</c:v>
                </c:pt>
              </c:strCache>
            </c:strRef>
          </c:cat>
          <c:val>
            <c:numRef>
              <c:f>Incidents!$C$3:$C$6</c:f>
              <c:numCache>
                <c:formatCode>General</c:formatCode>
                <c:ptCount val="3"/>
                <c:pt idx="0">
                  <c:v>38</c:v>
                </c:pt>
                <c:pt idx="1">
                  <c:v>21</c:v>
                </c:pt>
                <c:pt idx="2">
                  <c:v>27</c:v>
                </c:pt>
              </c:numCache>
            </c:numRef>
          </c:val>
          <c:extLst>
            <c:ext xmlns:c16="http://schemas.microsoft.com/office/drawing/2014/chart" uri="{C3380CC4-5D6E-409C-BE32-E72D297353CC}">
              <c16:uniqueId val="{00000006-7F2D-48D6-8B83-F1E3638824E4}"/>
            </c:ext>
          </c:extLst>
        </c:ser>
        <c:dLbls>
          <c:dLblPos val="outEnd"/>
          <c:showLegendKey val="0"/>
          <c:showVal val="1"/>
          <c:showCatName val="0"/>
          <c:showSerName val="0"/>
          <c:showPercent val="0"/>
          <c:showBubbleSize val="0"/>
        </c:dLbls>
        <c:gapWidth val="219"/>
        <c:overlap val="-27"/>
        <c:axId val="1132511743"/>
        <c:axId val="1132512223"/>
      </c:barChart>
      <c:catAx>
        <c:axId val="113251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512223"/>
        <c:crosses val="autoZero"/>
        <c:auto val="1"/>
        <c:lblAlgn val="ctr"/>
        <c:lblOffset val="100"/>
        <c:noMultiLvlLbl val="0"/>
      </c:catAx>
      <c:valAx>
        <c:axId val="1132512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51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[Traffic_Volume dashboard.xlsx]time!time</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1214479440069992"/>
          <c:y val="0.24769757946923296"/>
          <c:w val="0.41906714785651794"/>
          <c:h val="0.69844524642752992"/>
        </c:manualLayout>
      </c:layout>
      <c:pieChart>
        <c:varyColors val="1"/>
        <c:ser>
          <c:idx val="0"/>
          <c:order val="0"/>
          <c:tx>
            <c:strRef>
              <c:f>time!$B$1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F0-400A-A8E8-9F25D03A9C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F0-400A-A8E8-9F25D03A9C6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time!$A$2:$A$4</c:f>
              <c:strCache>
                <c:ptCount val="2"/>
                <c:pt idx="0">
                  <c:v>Evening</c:v>
                </c:pt>
                <c:pt idx="1">
                  <c:v>Morning</c:v>
                </c:pt>
              </c:strCache>
            </c:strRef>
          </c:cat>
          <c:val>
            <c:numRef>
              <c:f>time!$B$2:$B$4</c:f>
              <c:numCache>
                <c:formatCode>General</c:formatCode>
                <c:ptCount val="2"/>
                <c:pt idx="0">
                  <c:v>60406</c:v>
                </c:pt>
                <c:pt idx="1">
                  <c:v>50206</c:v>
                </c:pt>
              </c:numCache>
            </c:numRef>
          </c:val>
          <c:extLst>
            <c:ext xmlns:c16="http://schemas.microsoft.com/office/drawing/2014/chart" uri="{C3380CC4-5D6E-409C-BE32-E72D297353CC}">
              <c16:uniqueId val="{00000004-F3F0-400A-A8E8-9F25D03A9C6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426720</xdr:colOff>
      <xdr:row>3</xdr:row>
      <xdr:rowOff>60960</xdr:rowOff>
    </xdr:from>
    <xdr:to>
      <xdr:col>11</xdr:col>
      <xdr:colOff>358140</xdr:colOff>
      <xdr:row>18</xdr:row>
      <xdr:rowOff>60960</xdr:rowOff>
    </xdr:to>
    <xdr:graphicFrame macro="">
      <xdr:nvGraphicFramePr>
        <xdr:cNvPr id="2" name="Chart 1">
          <a:extLst>
            <a:ext uri="{FF2B5EF4-FFF2-40B4-BE49-F238E27FC236}">
              <a16:creationId xmlns:a16="http://schemas.microsoft.com/office/drawing/2014/main" id="{187BB759-848F-6A64-32A4-7D06724FB8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167640</xdr:colOff>
      <xdr:row>3</xdr:row>
      <xdr:rowOff>152400</xdr:rowOff>
    </xdr:from>
    <xdr:to>
      <xdr:col>21</xdr:col>
      <xdr:colOff>76200</xdr:colOff>
      <xdr:row>18</xdr:row>
      <xdr:rowOff>152400</xdr:rowOff>
    </xdr:to>
    <xdr:graphicFrame macro="">
      <xdr:nvGraphicFramePr>
        <xdr:cNvPr id="2" name="Chart 1">
          <a:extLst>
            <a:ext uri="{FF2B5EF4-FFF2-40B4-BE49-F238E27FC236}">
              <a16:creationId xmlns:a16="http://schemas.microsoft.com/office/drawing/2014/main" id="{417BD7E5-145C-E2A0-D218-5FA2317D7E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487680</xdr:colOff>
      <xdr:row>1</xdr:row>
      <xdr:rowOff>22860</xdr:rowOff>
    </xdr:from>
    <xdr:to>
      <xdr:col>9</xdr:col>
      <xdr:colOff>220980</xdr:colOff>
      <xdr:row>16</xdr:row>
      <xdr:rowOff>22860</xdr:rowOff>
    </xdr:to>
    <xdr:graphicFrame macro="">
      <xdr:nvGraphicFramePr>
        <xdr:cNvPr id="2" name="Chart 1">
          <a:extLst>
            <a:ext uri="{FF2B5EF4-FFF2-40B4-BE49-F238E27FC236}">
              <a16:creationId xmlns:a16="http://schemas.microsoft.com/office/drawing/2014/main" id="{BF8F16C5-2682-1CD1-D9AD-1BB8B0F246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76200</xdr:colOff>
      <xdr:row>2</xdr:row>
      <xdr:rowOff>160020</xdr:rowOff>
    </xdr:from>
    <xdr:to>
      <xdr:col>10</xdr:col>
      <xdr:colOff>381000</xdr:colOff>
      <xdr:row>17</xdr:row>
      <xdr:rowOff>160020</xdr:rowOff>
    </xdr:to>
    <xdr:graphicFrame macro="">
      <xdr:nvGraphicFramePr>
        <xdr:cNvPr id="2" name="Chart 1">
          <a:extLst>
            <a:ext uri="{FF2B5EF4-FFF2-40B4-BE49-F238E27FC236}">
              <a16:creationId xmlns:a16="http://schemas.microsoft.com/office/drawing/2014/main" id="{51BFE795-633E-648C-F5A8-8A19432BDD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63</xdr:col>
      <xdr:colOff>520334</xdr:colOff>
      <xdr:row>83</xdr:row>
      <xdr:rowOff>13061</xdr:rowOff>
    </xdr:from>
    <xdr:to>
      <xdr:col>63</xdr:col>
      <xdr:colOff>566053</xdr:colOff>
      <xdr:row>83</xdr:row>
      <xdr:rowOff>58780</xdr:rowOff>
    </xdr:to>
    <xdr:sp macro="" textlink="">
      <xdr:nvSpPr>
        <xdr:cNvPr id="6145" name="Text Box 1">
          <a:extLst>
            <a:ext uri="{FF2B5EF4-FFF2-40B4-BE49-F238E27FC236}">
              <a16:creationId xmlns:a16="http://schemas.microsoft.com/office/drawing/2014/main" id="{49F20AAC-85AC-A26A-C7BF-9F62E84F5871}"/>
            </a:ext>
          </a:extLst>
        </xdr:cNvPr>
        <xdr:cNvSpPr txBox="1">
          <a:spLocks noChangeArrowheads="1"/>
        </xdr:cNvSpPr>
      </xdr:nvSpPr>
      <xdr:spPr bwMode="auto">
        <a:xfrm rot="19542880" flipH="1" flipV="1">
          <a:off x="38925134" y="15192101"/>
          <a:ext cx="45719" cy="45719"/>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endParaRPr lang="en-US" sz="1100" b="0" i="0" u="none" strike="noStrike" baseline="0">
            <a:solidFill>
              <a:srgbClr val="000000"/>
            </a:solidFill>
            <a:latin typeface="Aptos Narrow"/>
          </a:endParaRPr>
        </a:p>
      </xdr:txBody>
    </xdr:sp>
    <xdr:clientData/>
  </xdr:twoCellAnchor>
  <xdr:twoCellAnchor>
    <xdr:from>
      <xdr:col>59</xdr:col>
      <xdr:colOff>304800</xdr:colOff>
      <xdr:row>81</xdr:row>
      <xdr:rowOff>30480</xdr:rowOff>
    </xdr:from>
    <xdr:to>
      <xdr:col>60</xdr:col>
      <xdr:colOff>304800</xdr:colOff>
      <xdr:row>83</xdr:row>
      <xdr:rowOff>144780</xdr:rowOff>
    </xdr:to>
    <xdr:sp macro="" textlink="">
      <xdr:nvSpPr>
        <xdr:cNvPr id="6146" name="Text Box 2">
          <a:extLst>
            <a:ext uri="{FF2B5EF4-FFF2-40B4-BE49-F238E27FC236}">
              <a16:creationId xmlns:a16="http://schemas.microsoft.com/office/drawing/2014/main" id="{E0006C45-DCB6-2AA6-60D2-194E3686287B}"/>
            </a:ext>
          </a:extLst>
        </xdr:cNvPr>
        <xdr:cNvSpPr txBox="1">
          <a:spLocks noChangeArrowheads="1"/>
        </xdr:cNvSpPr>
      </xdr:nvSpPr>
      <xdr:spPr bwMode="auto">
        <a:xfrm>
          <a:off x="36271200" y="14843760"/>
          <a:ext cx="609600" cy="48006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endParaRPr lang="en-US" sz="1100" b="0" i="0" u="none" strike="noStrike" baseline="0">
            <a:solidFill>
              <a:srgbClr val="000000"/>
            </a:solidFill>
            <a:latin typeface="Aptos Narrow"/>
          </a:endParaRPr>
        </a:p>
      </xdr:txBody>
    </xdr:sp>
    <xdr:clientData/>
  </xdr:twoCellAnchor>
  <xdr:twoCellAnchor>
    <xdr:from>
      <xdr:col>55</xdr:col>
      <xdr:colOff>152400</xdr:colOff>
      <xdr:row>45</xdr:row>
      <xdr:rowOff>133350</xdr:rowOff>
    </xdr:from>
    <xdr:to>
      <xdr:col>56</xdr:col>
      <xdr:colOff>152400</xdr:colOff>
      <xdr:row>48</xdr:row>
      <xdr:rowOff>57150</xdr:rowOff>
    </xdr:to>
    <xdr:sp macro="" textlink="">
      <xdr:nvSpPr>
        <xdr:cNvPr id="6147" name="Text Box 3">
          <a:extLst>
            <a:ext uri="{FF2B5EF4-FFF2-40B4-BE49-F238E27FC236}">
              <a16:creationId xmlns:a16="http://schemas.microsoft.com/office/drawing/2014/main" id="{6ACF7035-1FAA-F9F3-0B67-CC6CAC9A97D6}"/>
            </a:ext>
          </a:extLst>
        </xdr:cNvPr>
        <xdr:cNvSpPr txBox="1">
          <a:spLocks noChangeArrowheads="1"/>
        </xdr:cNvSpPr>
      </xdr:nvSpPr>
      <xdr:spPr bwMode="auto">
        <a:xfrm>
          <a:off x="33680400" y="8705850"/>
          <a:ext cx="609600" cy="49530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endParaRPr lang="en-US" sz="1100" b="0" i="0" u="none" strike="noStrike" baseline="0">
            <a:solidFill>
              <a:srgbClr val="000000"/>
            </a:solidFill>
            <a:latin typeface="Aptos Narrow"/>
          </a:endParaRPr>
        </a:p>
      </xdr:txBody>
    </xdr:sp>
    <xdr:clientData/>
  </xdr:twoCellAnchor>
  <xdr:twoCellAnchor>
    <xdr:from>
      <xdr:col>23</xdr:col>
      <xdr:colOff>647700</xdr:colOff>
      <xdr:row>7</xdr:row>
      <xdr:rowOff>152400</xdr:rowOff>
    </xdr:from>
    <xdr:to>
      <xdr:col>47</xdr:col>
      <xdr:colOff>190500</xdr:colOff>
      <xdr:row>63</xdr:row>
      <xdr:rowOff>121920</xdr:rowOff>
    </xdr:to>
    <xdr:sp macro="" textlink="">
      <xdr:nvSpPr>
        <xdr:cNvPr id="8" name="Rectangle: Rounded Corners 7">
          <a:extLst>
            <a:ext uri="{FF2B5EF4-FFF2-40B4-BE49-F238E27FC236}">
              <a16:creationId xmlns:a16="http://schemas.microsoft.com/office/drawing/2014/main" id="{909F35FC-8B87-A9FB-837D-E14591E005BD}"/>
            </a:ext>
          </a:extLst>
        </xdr:cNvPr>
        <xdr:cNvSpPr/>
      </xdr:nvSpPr>
      <xdr:spPr>
        <a:xfrm>
          <a:off x="15982950" y="1352550"/>
          <a:ext cx="15544800" cy="9570720"/>
        </a:xfrm>
        <a:prstGeom prst="roundRect">
          <a:avLst>
            <a:gd name="adj" fmla="val 288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190500</xdr:colOff>
      <xdr:row>18</xdr:row>
      <xdr:rowOff>95250</xdr:rowOff>
    </xdr:from>
    <xdr:to>
      <xdr:col>34</xdr:col>
      <xdr:colOff>190500</xdr:colOff>
      <xdr:row>39</xdr:row>
      <xdr:rowOff>152400</xdr:rowOff>
    </xdr:to>
    <xdr:sp macro="" textlink="">
      <xdr:nvSpPr>
        <xdr:cNvPr id="11" name="Rectangle: Rounded Corners 10">
          <a:extLst>
            <a:ext uri="{FF2B5EF4-FFF2-40B4-BE49-F238E27FC236}">
              <a16:creationId xmlns:a16="http://schemas.microsoft.com/office/drawing/2014/main" id="{37EA367D-40DD-BFB0-0F22-563B42DBDC54}"/>
            </a:ext>
          </a:extLst>
        </xdr:cNvPr>
        <xdr:cNvSpPr/>
      </xdr:nvSpPr>
      <xdr:spPr>
        <a:xfrm>
          <a:off x="16192500" y="3181350"/>
          <a:ext cx="6667500" cy="3657600"/>
        </a:xfrm>
        <a:prstGeom prst="roundRect">
          <a:avLst>
            <a:gd name="adj" fmla="val 10938"/>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34</xdr:col>
      <xdr:colOff>547167</xdr:colOff>
      <xdr:row>10</xdr:row>
      <xdr:rowOff>43543</xdr:rowOff>
    </xdr:from>
    <xdr:to>
      <xdr:col>37</xdr:col>
      <xdr:colOff>457199</xdr:colOff>
      <xdr:row>16</xdr:row>
      <xdr:rowOff>164568</xdr:rowOff>
    </xdr:to>
    <xdr:sp macro="" textlink="">
      <xdr:nvSpPr>
        <xdr:cNvPr id="16" name="Rectangle: Rounded Corners 15">
          <a:extLst>
            <a:ext uri="{FF2B5EF4-FFF2-40B4-BE49-F238E27FC236}">
              <a16:creationId xmlns:a16="http://schemas.microsoft.com/office/drawing/2014/main" id="{500A0D3F-5F7F-4A46-B7F5-D6138A0DDBF6}"/>
            </a:ext>
          </a:extLst>
        </xdr:cNvPr>
        <xdr:cNvSpPr/>
      </xdr:nvSpPr>
      <xdr:spPr>
        <a:xfrm>
          <a:off x="23494253" y="1785257"/>
          <a:ext cx="1934775" cy="1166054"/>
        </a:xfrm>
        <a:prstGeom prst="roundRect">
          <a:avLst>
            <a:gd name="adj" fmla="val 28599"/>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lt1"/>
              </a:solidFill>
              <a:effectLst/>
              <a:latin typeface="+mn-lt"/>
              <a:ea typeface="+mn-ea"/>
              <a:cs typeface="+mn-cs"/>
            </a:rPr>
            <a:t>All Incidents </a:t>
          </a:r>
          <a:endParaRPr lang="en-US" sz="2000" b="1">
            <a:effectLst/>
          </a:endParaRPr>
        </a:p>
        <a:p>
          <a:pPr algn="ctr"/>
          <a:r>
            <a:rPr lang="en-US" sz="2000" b="1">
              <a:solidFill>
                <a:schemeClr val="lt1"/>
              </a:solidFill>
              <a:effectLst/>
              <a:latin typeface="+mn-lt"/>
              <a:ea typeface="+mn-ea"/>
              <a:cs typeface="+mn-cs"/>
            </a:rPr>
            <a:t>193</a:t>
          </a:r>
          <a:endParaRPr lang="en-US" sz="2000" b="1">
            <a:effectLst/>
          </a:endParaRPr>
        </a:p>
        <a:p>
          <a:pPr algn="l"/>
          <a:endParaRPr lang="en-US" sz="1100"/>
        </a:p>
      </xdr:txBody>
    </xdr:sp>
    <xdr:clientData/>
  </xdr:twoCellAnchor>
  <xdr:twoCellAnchor>
    <xdr:from>
      <xdr:col>31</xdr:col>
      <xdr:colOff>119744</xdr:colOff>
      <xdr:row>10</xdr:row>
      <xdr:rowOff>21772</xdr:rowOff>
    </xdr:from>
    <xdr:to>
      <xdr:col>34</xdr:col>
      <xdr:colOff>39061</xdr:colOff>
      <xdr:row>16</xdr:row>
      <xdr:rowOff>160084</xdr:rowOff>
    </xdr:to>
    <xdr:sp macro="" textlink="">
      <xdr:nvSpPr>
        <xdr:cNvPr id="15" name="Rectangle: Rounded Corners 14">
          <a:extLst>
            <a:ext uri="{FF2B5EF4-FFF2-40B4-BE49-F238E27FC236}">
              <a16:creationId xmlns:a16="http://schemas.microsoft.com/office/drawing/2014/main" id="{36EABCB8-BE07-4CB7-9FB3-07BED3E0C5D2}"/>
            </a:ext>
          </a:extLst>
        </xdr:cNvPr>
        <xdr:cNvSpPr/>
      </xdr:nvSpPr>
      <xdr:spPr>
        <a:xfrm>
          <a:off x="21042087" y="1763486"/>
          <a:ext cx="1944060" cy="1183341"/>
        </a:xfrm>
        <a:prstGeom prst="roundRect">
          <a:avLst>
            <a:gd name="adj" fmla="val 32306"/>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Suburbs</a:t>
          </a:r>
        </a:p>
        <a:p>
          <a:pPr marL="0" marR="0" lvl="0" indent="0" algn="ctr" defTabSz="914400" eaLnBrk="1" fontAlgn="auto" latinLnBrk="0" hangingPunct="1">
            <a:lnSpc>
              <a:spcPct val="100000"/>
            </a:lnSpc>
            <a:spcBef>
              <a:spcPts val="0"/>
            </a:spcBef>
            <a:spcAft>
              <a:spcPts val="0"/>
            </a:spcAft>
            <a:buClrTx/>
            <a:buSzTx/>
            <a:buFontTx/>
            <a:buNone/>
            <a:tabLst/>
            <a:defRPr/>
          </a:pPr>
          <a:r>
            <a:rPr lang="en-US" sz="1400" b="1" baseline="0">
              <a:solidFill>
                <a:schemeClr val="lt1"/>
              </a:solidFill>
              <a:effectLst/>
              <a:latin typeface="+mn-lt"/>
              <a:ea typeface="+mn-ea"/>
              <a:cs typeface="+mn-cs"/>
            </a:rPr>
            <a:t>Incidents</a:t>
          </a:r>
          <a:endParaRPr lang="en-US" sz="1400" b="1"/>
        </a:p>
        <a:p>
          <a:pPr algn="ctr"/>
          <a:r>
            <a:rPr lang="en-US" sz="2000" b="1"/>
            <a:t>53</a:t>
          </a:r>
        </a:p>
      </xdr:txBody>
    </xdr:sp>
    <xdr:clientData/>
  </xdr:twoCellAnchor>
  <xdr:twoCellAnchor>
    <xdr:from>
      <xdr:col>27</xdr:col>
      <xdr:colOff>573581</xdr:colOff>
      <xdr:row>10</xdr:row>
      <xdr:rowOff>10887</xdr:rowOff>
    </xdr:from>
    <xdr:to>
      <xdr:col>30</xdr:col>
      <xdr:colOff>511627</xdr:colOff>
      <xdr:row>16</xdr:row>
      <xdr:rowOff>153202</xdr:rowOff>
    </xdr:to>
    <xdr:sp macro="" textlink="">
      <xdr:nvSpPr>
        <xdr:cNvPr id="14" name="Rectangle: Rounded Corners 13">
          <a:extLst>
            <a:ext uri="{FF2B5EF4-FFF2-40B4-BE49-F238E27FC236}">
              <a16:creationId xmlns:a16="http://schemas.microsoft.com/office/drawing/2014/main" id="{2FA88A27-A762-4582-9C66-B46CDC4231FB}"/>
            </a:ext>
          </a:extLst>
        </xdr:cNvPr>
        <xdr:cNvSpPr/>
      </xdr:nvSpPr>
      <xdr:spPr>
        <a:xfrm>
          <a:off x="18796267" y="1752601"/>
          <a:ext cx="1962789" cy="1187344"/>
        </a:xfrm>
        <a:prstGeom prst="roundRect">
          <a:avLst>
            <a:gd name="adj" fmla="val 33116"/>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Highway</a:t>
          </a:r>
        </a:p>
        <a:p>
          <a:pPr marL="0" marR="0" lvl="0" indent="0" algn="ctr" defTabSz="914400" eaLnBrk="1" fontAlgn="auto" latinLnBrk="0" hangingPunct="1">
            <a:lnSpc>
              <a:spcPct val="100000"/>
            </a:lnSpc>
            <a:spcBef>
              <a:spcPts val="0"/>
            </a:spcBef>
            <a:spcAft>
              <a:spcPts val="0"/>
            </a:spcAft>
            <a:buClrTx/>
            <a:buSzTx/>
            <a:buFontTx/>
            <a:buNone/>
            <a:tabLst/>
            <a:defRPr/>
          </a:pPr>
          <a:r>
            <a:rPr lang="en-US" sz="1400" b="1" baseline="0">
              <a:solidFill>
                <a:schemeClr val="lt1"/>
              </a:solidFill>
              <a:effectLst/>
              <a:latin typeface="+mn-lt"/>
              <a:ea typeface="+mn-ea"/>
              <a:cs typeface="+mn-cs"/>
            </a:rPr>
            <a:t>Incidents</a:t>
          </a:r>
          <a:endParaRPr lang="en-US" sz="1400" b="1"/>
        </a:p>
        <a:p>
          <a:pPr algn="ctr"/>
          <a:r>
            <a:rPr lang="en-US" sz="2000" b="1"/>
            <a:t>62</a:t>
          </a:r>
        </a:p>
      </xdr:txBody>
    </xdr:sp>
    <xdr:clientData/>
  </xdr:twoCellAnchor>
  <xdr:twoCellAnchor editAs="oneCell">
    <xdr:from>
      <xdr:col>45</xdr:col>
      <xdr:colOff>1</xdr:colOff>
      <xdr:row>19</xdr:row>
      <xdr:rowOff>133349</xdr:rowOff>
    </xdr:from>
    <xdr:to>
      <xdr:col>46</xdr:col>
      <xdr:colOff>628650</xdr:colOff>
      <xdr:row>32</xdr:row>
      <xdr:rowOff>57150</xdr:rowOff>
    </xdr:to>
    <mc:AlternateContent xmlns:mc="http://schemas.openxmlformats.org/markup-compatibility/2006">
      <mc:Choice xmlns:a14="http://schemas.microsoft.com/office/drawing/2010/main" Requires="a14">
        <xdr:graphicFrame macro="">
          <xdr:nvGraphicFramePr>
            <xdr:cNvPr id="7" name="Date (Month)">
              <a:extLst>
                <a:ext uri="{FF2B5EF4-FFF2-40B4-BE49-F238E27FC236}">
                  <a16:creationId xmlns:a16="http://schemas.microsoft.com/office/drawing/2014/main" id="{DA8ECADA-EAB2-1B23-72F9-DBEBFFE0E3F5}"/>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30003751" y="3390899"/>
              <a:ext cx="1295399" cy="21526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34</xdr:col>
      <xdr:colOff>354330</xdr:colOff>
      <xdr:row>18</xdr:row>
      <xdr:rowOff>72390</xdr:rowOff>
    </xdr:from>
    <xdr:to>
      <xdr:col>44</xdr:col>
      <xdr:colOff>354330</xdr:colOff>
      <xdr:row>39</xdr:row>
      <xdr:rowOff>129540</xdr:rowOff>
    </xdr:to>
    <xdr:sp macro="" textlink="">
      <xdr:nvSpPr>
        <xdr:cNvPr id="12" name="Rectangle: Rounded Corners 11">
          <a:extLst>
            <a:ext uri="{FF2B5EF4-FFF2-40B4-BE49-F238E27FC236}">
              <a16:creationId xmlns:a16="http://schemas.microsoft.com/office/drawing/2014/main" id="{F53C5D12-9150-47A7-B6B8-71DB66DAE2A6}"/>
            </a:ext>
          </a:extLst>
        </xdr:cNvPr>
        <xdr:cNvSpPr/>
      </xdr:nvSpPr>
      <xdr:spPr>
        <a:xfrm>
          <a:off x="23023830" y="3158490"/>
          <a:ext cx="6667500" cy="3657600"/>
        </a:xfrm>
        <a:prstGeom prst="roundRect">
          <a:avLst>
            <a:gd name="adj" fmla="val 10938"/>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24</xdr:col>
      <xdr:colOff>285750</xdr:colOff>
      <xdr:row>10</xdr:row>
      <xdr:rowOff>54428</xdr:rowOff>
    </xdr:from>
    <xdr:to>
      <xdr:col>27</xdr:col>
      <xdr:colOff>272143</xdr:colOff>
      <xdr:row>16</xdr:row>
      <xdr:rowOff>168088</xdr:rowOff>
    </xdr:to>
    <xdr:sp macro="" textlink="">
      <xdr:nvSpPr>
        <xdr:cNvPr id="13" name="Rectangle: Rounded Corners 12">
          <a:extLst>
            <a:ext uri="{FF2B5EF4-FFF2-40B4-BE49-F238E27FC236}">
              <a16:creationId xmlns:a16="http://schemas.microsoft.com/office/drawing/2014/main" id="{0C79D142-DE59-737E-4B59-0B53F187D572}"/>
            </a:ext>
          </a:extLst>
        </xdr:cNvPr>
        <xdr:cNvSpPr/>
      </xdr:nvSpPr>
      <xdr:spPr>
        <a:xfrm>
          <a:off x="16483693" y="1796142"/>
          <a:ext cx="2011136" cy="1158689"/>
        </a:xfrm>
        <a:prstGeom prst="roundRect">
          <a:avLst>
            <a:gd name="adj" fmla="val 31922"/>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Downtown </a:t>
          </a:r>
        </a:p>
        <a:p>
          <a:pPr algn="ctr"/>
          <a:r>
            <a:rPr lang="en-US" sz="1400" b="1" baseline="0">
              <a:solidFill>
                <a:schemeClr val="lt1"/>
              </a:solidFill>
              <a:effectLst/>
              <a:latin typeface="+mn-lt"/>
              <a:ea typeface="+mn-ea"/>
              <a:cs typeface="+mn-cs"/>
            </a:rPr>
            <a:t>Incidents</a:t>
          </a:r>
          <a:endParaRPr lang="en-US" sz="1400" b="1"/>
        </a:p>
        <a:p>
          <a:pPr algn="ctr"/>
          <a:r>
            <a:rPr lang="en-US" sz="2000" b="1"/>
            <a:t>78</a:t>
          </a:r>
        </a:p>
      </xdr:txBody>
    </xdr:sp>
    <xdr:clientData/>
  </xdr:twoCellAnchor>
  <xdr:twoCellAnchor>
    <xdr:from>
      <xdr:col>35</xdr:col>
      <xdr:colOff>478</xdr:colOff>
      <xdr:row>20</xdr:row>
      <xdr:rowOff>27214</xdr:rowOff>
    </xdr:from>
    <xdr:to>
      <xdr:col>44</xdr:col>
      <xdr:colOff>57150</xdr:colOff>
      <xdr:row>38</xdr:row>
      <xdr:rowOff>95250</xdr:rowOff>
    </xdr:to>
    <xdr:graphicFrame macro="">
      <xdr:nvGraphicFramePr>
        <xdr:cNvPr id="4" name="Chart 3">
          <a:extLst>
            <a:ext uri="{FF2B5EF4-FFF2-40B4-BE49-F238E27FC236}">
              <a16:creationId xmlns:a16="http://schemas.microsoft.com/office/drawing/2014/main" id="{EC5590D4-4E03-4E04-8D86-2EDEF26253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476250</xdr:colOff>
      <xdr:row>20</xdr:row>
      <xdr:rowOff>76200</xdr:rowOff>
    </xdr:from>
    <xdr:to>
      <xdr:col>33</xdr:col>
      <xdr:colOff>476250</xdr:colOff>
      <xdr:row>38</xdr:row>
      <xdr:rowOff>76200</xdr:rowOff>
    </xdr:to>
    <xdr:graphicFrame macro="">
      <xdr:nvGraphicFramePr>
        <xdr:cNvPr id="2" name="Chart 1">
          <a:extLst>
            <a:ext uri="{FF2B5EF4-FFF2-40B4-BE49-F238E27FC236}">
              <a16:creationId xmlns:a16="http://schemas.microsoft.com/office/drawing/2014/main" id="{DEF73AA4-87EE-4393-86E2-4286E8C3A4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201930</xdr:colOff>
      <xdr:row>41</xdr:row>
      <xdr:rowOff>15240</xdr:rowOff>
    </xdr:from>
    <xdr:to>
      <xdr:col>34</xdr:col>
      <xdr:colOff>201930</xdr:colOff>
      <xdr:row>62</xdr:row>
      <xdr:rowOff>72390</xdr:rowOff>
    </xdr:to>
    <xdr:sp macro="" textlink="">
      <xdr:nvSpPr>
        <xdr:cNvPr id="19" name="Rectangle: Rounded Corners 18">
          <a:extLst>
            <a:ext uri="{FF2B5EF4-FFF2-40B4-BE49-F238E27FC236}">
              <a16:creationId xmlns:a16="http://schemas.microsoft.com/office/drawing/2014/main" id="{CE267313-8C77-40F5-9CA9-92C72629E9D7}"/>
            </a:ext>
          </a:extLst>
        </xdr:cNvPr>
        <xdr:cNvSpPr/>
      </xdr:nvSpPr>
      <xdr:spPr>
        <a:xfrm>
          <a:off x="16203930" y="7044690"/>
          <a:ext cx="6667500" cy="3657600"/>
        </a:xfrm>
        <a:prstGeom prst="roundRect">
          <a:avLst>
            <a:gd name="adj" fmla="val 10938"/>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34</xdr:col>
      <xdr:colOff>411480</xdr:colOff>
      <xdr:row>41</xdr:row>
      <xdr:rowOff>34290</xdr:rowOff>
    </xdr:from>
    <xdr:to>
      <xdr:col>44</xdr:col>
      <xdr:colOff>411480</xdr:colOff>
      <xdr:row>62</xdr:row>
      <xdr:rowOff>91440</xdr:rowOff>
    </xdr:to>
    <xdr:sp macro="" textlink="">
      <xdr:nvSpPr>
        <xdr:cNvPr id="21" name="Rectangle: Rounded Corners 20">
          <a:extLst>
            <a:ext uri="{FF2B5EF4-FFF2-40B4-BE49-F238E27FC236}">
              <a16:creationId xmlns:a16="http://schemas.microsoft.com/office/drawing/2014/main" id="{6BEB3CFF-3A46-4DCB-842D-893593BE6246}"/>
            </a:ext>
          </a:extLst>
        </xdr:cNvPr>
        <xdr:cNvSpPr/>
      </xdr:nvSpPr>
      <xdr:spPr>
        <a:xfrm>
          <a:off x="23080980" y="7063740"/>
          <a:ext cx="6667500" cy="3657600"/>
        </a:xfrm>
        <a:prstGeom prst="roundRect">
          <a:avLst>
            <a:gd name="adj" fmla="val 10938"/>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24</xdr:col>
      <xdr:colOff>457200</xdr:colOff>
      <xdr:row>42</xdr:row>
      <xdr:rowOff>96982</xdr:rowOff>
    </xdr:from>
    <xdr:to>
      <xdr:col>33</xdr:col>
      <xdr:colOff>498763</xdr:colOff>
      <xdr:row>60</xdr:row>
      <xdr:rowOff>166255</xdr:rowOff>
    </xdr:to>
    <xdr:graphicFrame macro="">
      <xdr:nvGraphicFramePr>
        <xdr:cNvPr id="3" name="Chart 2">
          <a:extLst>
            <a:ext uri="{FF2B5EF4-FFF2-40B4-BE49-F238E27FC236}">
              <a16:creationId xmlns:a16="http://schemas.microsoft.com/office/drawing/2014/main" id="{8BA871D4-5D8D-4FD1-A7D4-49BB8352E8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41</xdr:col>
      <xdr:colOff>304799</xdr:colOff>
      <xdr:row>10</xdr:row>
      <xdr:rowOff>65313</xdr:rowOff>
    </xdr:from>
    <xdr:to>
      <xdr:col>44</xdr:col>
      <xdr:colOff>237564</xdr:colOff>
      <xdr:row>17</xdr:row>
      <xdr:rowOff>12167</xdr:rowOff>
    </xdr:to>
    <xdr:sp macro="" textlink="">
      <xdr:nvSpPr>
        <xdr:cNvPr id="27" name="Rectangle: Rounded Corners 26">
          <a:extLst>
            <a:ext uri="{FF2B5EF4-FFF2-40B4-BE49-F238E27FC236}">
              <a16:creationId xmlns:a16="http://schemas.microsoft.com/office/drawing/2014/main" id="{97C12702-626C-42BF-9D7E-46319895CFA1}"/>
            </a:ext>
          </a:extLst>
        </xdr:cNvPr>
        <xdr:cNvSpPr/>
      </xdr:nvSpPr>
      <xdr:spPr>
        <a:xfrm>
          <a:off x="27976285" y="1807027"/>
          <a:ext cx="1957508" cy="1166054"/>
        </a:xfrm>
        <a:prstGeom prst="roundRect">
          <a:avLst>
            <a:gd name="adj" fmla="val 28599"/>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Morning </a:t>
          </a:r>
        </a:p>
        <a:p>
          <a:pPr algn="ctr"/>
          <a:r>
            <a:rPr lang="en-US" sz="2000" b="1"/>
            <a:t>86</a:t>
          </a:r>
        </a:p>
      </xdr:txBody>
    </xdr:sp>
    <xdr:clientData/>
  </xdr:twoCellAnchor>
  <xdr:twoCellAnchor>
    <xdr:from>
      <xdr:col>38</xdr:col>
      <xdr:colOff>76198</xdr:colOff>
      <xdr:row>10</xdr:row>
      <xdr:rowOff>43541</xdr:rowOff>
    </xdr:from>
    <xdr:to>
      <xdr:col>41</xdr:col>
      <xdr:colOff>43542</xdr:colOff>
      <xdr:row>16</xdr:row>
      <xdr:rowOff>164566</xdr:rowOff>
    </xdr:to>
    <xdr:sp macro="" textlink="">
      <xdr:nvSpPr>
        <xdr:cNvPr id="28" name="Rectangle: Rounded Corners 27">
          <a:extLst>
            <a:ext uri="{FF2B5EF4-FFF2-40B4-BE49-F238E27FC236}">
              <a16:creationId xmlns:a16="http://schemas.microsoft.com/office/drawing/2014/main" id="{D40C972B-D7B6-4E9C-8DC8-92FF55119094}"/>
            </a:ext>
          </a:extLst>
        </xdr:cNvPr>
        <xdr:cNvSpPr/>
      </xdr:nvSpPr>
      <xdr:spPr>
        <a:xfrm>
          <a:off x="25722941" y="1785255"/>
          <a:ext cx="1992087" cy="1166054"/>
        </a:xfrm>
        <a:prstGeom prst="roundRect">
          <a:avLst>
            <a:gd name="adj" fmla="val 28599"/>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Evening </a:t>
          </a:r>
        </a:p>
        <a:p>
          <a:pPr algn="ctr"/>
          <a:r>
            <a:rPr lang="en-US" sz="2000" b="1"/>
            <a:t>107</a:t>
          </a:r>
        </a:p>
      </xdr:txBody>
    </xdr:sp>
    <xdr:clientData/>
  </xdr:twoCellAnchor>
  <xdr:twoCellAnchor>
    <xdr:from>
      <xdr:col>35</xdr:col>
      <xdr:colOff>45769</xdr:colOff>
      <xdr:row>42</xdr:row>
      <xdr:rowOff>124691</xdr:rowOff>
    </xdr:from>
    <xdr:to>
      <xdr:col>44</xdr:col>
      <xdr:colOff>69273</xdr:colOff>
      <xdr:row>60</xdr:row>
      <xdr:rowOff>152400</xdr:rowOff>
    </xdr:to>
    <xdr:graphicFrame macro="">
      <xdr:nvGraphicFramePr>
        <xdr:cNvPr id="5" name="Chart 4">
          <a:extLst>
            <a:ext uri="{FF2B5EF4-FFF2-40B4-BE49-F238E27FC236}">
              <a16:creationId xmlns:a16="http://schemas.microsoft.com/office/drawing/2014/main" id="{FBC8135A-3F38-4E10-80C9-1DAB2373D2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44</xdr:col>
      <xdr:colOff>656631</xdr:colOff>
      <xdr:row>34</xdr:row>
      <xdr:rowOff>11782</xdr:rowOff>
    </xdr:from>
    <xdr:to>
      <xdr:col>46</xdr:col>
      <xdr:colOff>634093</xdr:colOff>
      <xdr:row>46</xdr:row>
      <xdr:rowOff>19050</xdr:rowOff>
    </xdr:to>
    <mc:AlternateContent xmlns:mc="http://schemas.openxmlformats.org/markup-compatibility/2006">
      <mc:Choice xmlns:a14="http://schemas.microsoft.com/office/drawing/2010/main" Requires="a14">
        <xdr:graphicFrame macro="">
          <xdr:nvGraphicFramePr>
            <xdr:cNvPr id="10" name="Time">
              <a:extLst>
                <a:ext uri="{FF2B5EF4-FFF2-40B4-BE49-F238E27FC236}">
                  <a16:creationId xmlns:a16="http://schemas.microsoft.com/office/drawing/2014/main" id="{52861FB6-72DD-4ACB-7E0A-89205378022F}"/>
                </a:ext>
              </a:extLst>
            </xdr:cNvPr>
            <xdr:cNvGraphicFramePr/>
          </xdr:nvGraphicFramePr>
          <xdr:xfrm>
            <a:off x="0" y="0"/>
            <a:ext cx="0" cy="0"/>
          </xdr:xfrm>
          <a:graphic>
            <a:graphicData uri="http://schemas.microsoft.com/office/drawing/2010/slicer">
              <sle:slicer xmlns:sle="http://schemas.microsoft.com/office/drawing/2010/slicer" name="Time"/>
            </a:graphicData>
          </a:graphic>
        </xdr:graphicFrame>
      </mc:Choice>
      <mc:Fallback>
        <xdr:sp macro="" textlink="">
          <xdr:nvSpPr>
            <xdr:cNvPr id="0" name=""/>
            <xdr:cNvSpPr>
              <a:spLocks noTextEdit="1"/>
            </xdr:cNvSpPr>
          </xdr:nvSpPr>
          <xdr:spPr>
            <a:xfrm>
              <a:off x="29993631" y="5841082"/>
              <a:ext cx="1310962" cy="20646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45</xdr:col>
      <xdr:colOff>8845</xdr:colOff>
      <xdr:row>47</xdr:row>
      <xdr:rowOff>77032</xdr:rowOff>
    </xdr:from>
    <xdr:to>
      <xdr:col>46</xdr:col>
      <xdr:colOff>645459</xdr:colOff>
      <xdr:row>61</xdr:row>
      <xdr:rowOff>114299</xdr:rowOff>
    </xdr:to>
    <mc:AlternateContent xmlns:mc="http://schemas.openxmlformats.org/markup-compatibility/2006">
      <mc:Choice xmlns:a14="http://schemas.microsoft.com/office/drawing/2010/main" Requires="a14">
        <xdr:graphicFrame macro="">
          <xdr:nvGraphicFramePr>
            <xdr:cNvPr id="9" name="Location">
              <a:extLst>
                <a:ext uri="{FF2B5EF4-FFF2-40B4-BE49-F238E27FC236}">
                  <a16:creationId xmlns:a16="http://schemas.microsoft.com/office/drawing/2014/main" id="{E9753AB8-04A6-35F4-823B-915AC5B59598}"/>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30012595" y="8135182"/>
              <a:ext cx="1303364" cy="2437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647700</xdr:colOff>
      <xdr:row>2</xdr:row>
      <xdr:rowOff>95250</xdr:rowOff>
    </xdr:from>
    <xdr:to>
      <xdr:col>47</xdr:col>
      <xdr:colOff>228600</xdr:colOff>
      <xdr:row>7</xdr:row>
      <xdr:rowOff>114300</xdr:rowOff>
    </xdr:to>
    <xdr:sp macro="" textlink="">
      <xdr:nvSpPr>
        <xdr:cNvPr id="29" name="Rectangle: Rounded Corners 28">
          <a:extLst>
            <a:ext uri="{FF2B5EF4-FFF2-40B4-BE49-F238E27FC236}">
              <a16:creationId xmlns:a16="http://schemas.microsoft.com/office/drawing/2014/main" id="{AAA73558-138E-7818-244A-7D4F0A010091}"/>
            </a:ext>
          </a:extLst>
        </xdr:cNvPr>
        <xdr:cNvSpPr/>
      </xdr:nvSpPr>
      <xdr:spPr>
        <a:xfrm>
          <a:off x="15982950" y="438150"/>
          <a:ext cx="15582900" cy="876300"/>
        </a:xfrm>
        <a:prstGeom prst="roundRect">
          <a:avLst>
            <a:gd name="adj" fmla="val 500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600" b="1">
              <a:solidFill>
                <a:schemeClr val="lt1"/>
              </a:solidFill>
              <a:effectLst/>
              <a:latin typeface="+mn-lt"/>
              <a:ea typeface="+mn-ea"/>
              <a:cs typeface="+mn-cs"/>
            </a:rPr>
            <a:t>Traffic_Volume</a:t>
          </a:r>
          <a:r>
            <a:rPr lang="en-US" sz="3600" b="1" baseline="0">
              <a:solidFill>
                <a:schemeClr val="lt1"/>
              </a:solidFill>
              <a:effectLst/>
              <a:latin typeface="+mn-lt"/>
              <a:ea typeface="+mn-ea"/>
              <a:cs typeface="+mn-cs"/>
            </a:rPr>
            <a:t> &amp; Incidents</a:t>
          </a:r>
          <a:endParaRPr lang="en-US" sz="3600" b="1">
            <a:effectLst/>
          </a:endParaRPr>
        </a:p>
        <a:p>
          <a:pPr algn="l"/>
          <a:endParaRPr lang="en-US" sz="1100"/>
        </a:p>
      </xdr:txBody>
    </xdr:sp>
    <xdr:clientData/>
  </xdr:twoCellAnchor>
  <xdr:twoCellAnchor editAs="oneCell">
    <xdr:from>
      <xdr:col>44</xdr:col>
      <xdr:colOff>514351</xdr:colOff>
      <xdr:row>9</xdr:row>
      <xdr:rowOff>152401</xdr:rowOff>
    </xdr:from>
    <xdr:to>
      <xdr:col>46</xdr:col>
      <xdr:colOff>552451</xdr:colOff>
      <xdr:row>17</xdr:row>
      <xdr:rowOff>152401</xdr:rowOff>
    </xdr:to>
    <xdr:pic>
      <xdr:nvPicPr>
        <xdr:cNvPr id="33" name="Picture 32">
          <a:extLst>
            <a:ext uri="{FF2B5EF4-FFF2-40B4-BE49-F238E27FC236}">
              <a16:creationId xmlns:a16="http://schemas.microsoft.com/office/drawing/2014/main" id="{CCC154C1-AE98-66B9-1579-FDCB175C201F}"/>
            </a:ext>
          </a:extLst>
        </xdr:cNvPr>
        <xdr:cNvPicPr>
          <a:picLocks noChangeAspect="1"/>
        </xdr:cNvPicPr>
      </xdr:nvPicPr>
      <xdr:blipFill>
        <a:blip xmlns:r="http://schemas.openxmlformats.org/officeDocument/2006/relationships" r:embed="rId5"/>
        <a:stretch>
          <a:fillRect/>
        </a:stretch>
      </xdr:blipFill>
      <xdr:spPr>
        <a:xfrm>
          <a:off x="29851351" y="1695451"/>
          <a:ext cx="1371600" cy="1371600"/>
        </a:xfrm>
        <a:prstGeom prst="ellipse">
          <a:avLst/>
        </a:prstGeom>
        <a:ln w="190500" cap="rnd">
          <a:solidFill>
            <a:srgbClr val="C8C6BD"/>
          </a:solidFill>
          <a:prstDash val="solid"/>
        </a:ln>
        <a:effectLst>
          <a:glow rad="228600">
            <a:schemeClr val="accent1">
              <a:satMod val="175000"/>
              <a:alpha val="40000"/>
            </a:schemeClr>
          </a:glow>
          <a:outerShdw blurRad="127000" algn="bl" rotWithShape="0">
            <a:srgbClr val="000000"/>
          </a:outerShdw>
        </a:effectLst>
        <a:scene3d>
          <a:camera prst="perspectiveFront" fov="5400000"/>
          <a:lightRig rig="threePt" dir="t">
            <a:rot lat="0" lon="0" rev="19200000"/>
          </a:lightRig>
        </a:scene3d>
        <a:sp3d extrusionH="25400">
          <a:bevelT w="304800" h="152400" prst="hardEdge"/>
          <a:extrusionClr>
            <a:srgbClr val="000000"/>
          </a:extrusionClr>
        </a:sp3d>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08.487623726855" backgroundQuery="1" createdVersion="8" refreshedVersion="8" minRefreshableVersion="3" recordCount="0" supportSubquery="1" supportAdvancedDrill="1" xr:uid="{C61DB4D3-970F-4C85-B43F-902525A8DC95}">
  <cacheSource type="external" connectionId="3"/>
  <cacheFields count="2">
    <cacheField name="[relation].[Time].[Time]" caption="Time" numFmtId="0" hierarchy="1" level="1">
      <sharedItems count="2">
        <s v="Evening"/>
        <s v="Morning"/>
      </sharedItems>
    </cacheField>
    <cacheField name="[Measures].[Sum of Incidents]" caption="Sum of Incidents" numFmtId="0" hierarchy="16" level="32767"/>
  </cacheFields>
  <cacheHierarchies count="17">
    <cacheHierarchy uniqueName="[relation].[Date]" caption="Date" attribute="1" time="1" defaultMemberUniqueName="[relation].[Date].[All]" allUniqueName="[relation].[Date].[All]" dimensionUniqueName="[relation]" displayFolder="" count="0" memberValueDatatype="7" unbalanced="0"/>
    <cacheHierarchy uniqueName="[relation].[Time]" caption="Time" attribute="1" defaultMemberUniqueName="[relation].[Time].[All]" allUniqueName="[relation].[Time].[All]" dimensionUniqueName="[relation]" displayFolder="" count="2" memberValueDatatype="130" unbalanced="0">
      <fieldsUsage count="2">
        <fieldUsage x="-1"/>
        <fieldUsage x="0"/>
      </fieldsUsage>
    </cacheHierarchy>
    <cacheHierarchy uniqueName="[relation].[Location]" caption="Location" attribute="1" defaultMemberUniqueName="[relation].[Location].[All]" allUniqueName="[relation].[Location].[All]" dimensionUniqueName="[relation]" displayFolder="" count="0" memberValueDatatype="130" unbalanced="0"/>
    <cacheHierarchy uniqueName="[relation].[Traffic_Volume]" caption="Traffic_Volume" attribute="1" defaultMemberUniqueName="[relation].[Traffic_Volume].[All]" allUniqueName="[relation].[Traffic_Volume].[All]" dimensionUniqueName="[relation]" displayFolder="" count="0" memberValueDatatype="20" unbalanced="0"/>
    <cacheHierarchy uniqueName="[relation].[Incidents]" caption="Incidents" attribute="1" defaultMemberUniqueName="[relation].[Incidents].[All]" allUniqueName="[relation].[Incidents].[All]" dimensionUniqueName="[relation]" displayFolder="" count="0" memberValueDatatype="20" unbalanced="0"/>
    <cacheHierarchy uniqueName="[relation].[Date (Month)]" caption="Date (Month)" attribute="1" defaultMemberUniqueName="[relation].[Date (Month)].[All]" allUniqueName="[relation].[Date (Month)].[All]" dimensionUniqueName="[relation]"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Time]" caption="Time" attribute="1" defaultMemberUniqueName="[Sheet1].[Time].[All]" allUniqueName="[Sheet1].[Time].[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Traffic_Volume]" caption="Traffic_Volume" attribute="1" defaultMemberUniqueName="[Sheet1].[Traffic_Volume].[All]" allUniqueName="[Sheet1].[Traffic_Volume].[All]" dimensionUniqueName="[Sheet1]" displayFolder="" count="0" memberValueDatatype="20" unbalanced="0"/>
    <cacheHierarchy uniqueName="[Sheet1].[Incidents]" caption="Incidents" attribute="1" defaultMemberUniqueName="[Sheet1].[Incidents].[All]" allUniqueName="[Sheet1].[Incidents].[All]" dimensionUniqueName="[Sheet1]" displayFolder="" count="0" memberValueDatatype="20" unbalanced="0"/>
    <cacheHierarchy uniqueName="[relation].[Date (Month Index)]" caption="Date (Month Index)" attribute="1" defaultMemberUniqueName="[relation].[Date (Month Index)].[All]" allUniqueName="[relation].[Date (Month Index)].[All]" dimensionUniqueName="[relation]" displayFolder="" count="0" memberValueDatatype="20" unbalanced="0" hidden="1"/>
    <cacheHierarchy uniqueName="[Measures].[__XL_Count Sheet1]" caption="__XL_Count Sheet1" measure="1" displayFolder="" measureGroup="Sheet1" count="0" hidden="1"/>
    <cacheHierarchy uniqueName="[Measures].[__XL_Count relation]" caption="__XL_Count relation" measure="1" displayFolder="" measureGroup="relation" count="0" hidden="1"/>
    <cacheHierarchy uniqueName="[Measures].[__No measures defined]" caption="__No measures defined" measure="1" displayFolder="" count="0" hidden="1"/>
    <cacheHierarchy uniqueName="[Measures].[Sum of Traffic_Volume]" caption="Sum of Traffic_Volume" measure="1" displayFolder="" measureGroup="relation" count="0" hidden="1">
      <extLst>
        <ext xmlns:x15="http://schemas.microsoft.com/office/spreadsheetml/2010/11/main" uri="{B97F6D7D-B522-45F9-BDA1-12C45D357490}">
          <x15:cacheHierarchy aggregatedColumn="3"/>
        </ext>
      </extLst>
    </cacheHierarchy>
    <cacheHierarchy uniqueName="[Measures].[Sum of Incidents]" caption="Sum of Incidents" measure="1" displayFolder="" measureGroup="relation"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relation" uniqueName="[relation]" caption="relation"/>
    <dimension name="Sheet1" uniqueName="[Sheet1]" caption="Sheet1"/>
  </dimensions>
  <measureGroups count="2">
    <measureGroup name="relation" caption="relation"/>
    <measureGroup name="Sheet1" caption="Sheet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12.834504050923" backgroundQuery="1" createdVersion="8" refreshedVersion="8" minRefreshableVersion="3" recordCount="0" supportSubquery="1" supportAdvancedDrill="1" xr:uid="{6F1D9552-A65C-4EFD-B7FE-A6F2334C8F3F}">
  <cacheSource type="external" connectionId="3"/>
  <cacheFields count="3">
    <cacheField name="[relation].[Location].[Location]" caption="Location" numFmtId="0" hierarchy="2" level="1">
      <sharedItems count="3">
        <s v="Downtown"/>
        <s v="Highway"/>
        <s v="Suburbs"/>
      </sharedItems>
    </cacheField>
    <cacheField name="[Measures].[Sum of Incidents]" caption="Sum of Incidents" numFmtId="0" hierarchy="16" level="32767"/>
    <cacheField name="[relation].[Time].[Time]" caption="Time" numFmtId="0" hierarchy="1" level="1">
      <sharedItems count="2">
        <s v="Evening"/>
        <s v="Morning"/>
      </sharedItems>
    </cacheField>
  </cacheFields>
  <cacheHierarchies count="17">
    <cacheHierarchy uniqueName="[relation].[Date]" caption="Date" attribute="1" time="1" defaultMemberUniqueName="[relation].[Date].[All]" allUniqueName="[relation].[Date].[All]" dimensionUniqueName="[relation]" displayFolder="" count="2" memberValueDatatype="7" unbalanced="0"/>
    <cacheHierarchy uniqueName="[relation].[Time]" caption="Time" attribute="1" defaultMemberUniqueName="[relation].[Time].[All]" allUniqueName="[relation].[Time].[All]" dimensionUniqueName="[relation]" displayFolder="" count="2" memberValueDatatype="130" unbalanced="0">
      <fieldsUsage count="2">
        <fieldUsage x="-1"/>
        <fieldUsage x="2"/>
      </fieldsUsage>
    </cacheHierarchy>
    <cacheHierarchy uniqueName="[relation].[Location]" caption="Location" attribute="1" defaultMemberUniqueName="[relation].[Location].[All]" allUniqueName="[relation].[Location].[All]" dimensionUniqueName="[relation]" displayFolder="" count="2" memberValueDatatype="130" unbalanced="0">
      <fieldsUsage count="2">
        <fieldUsage x="-1"/>
        <fieldUsage x="0"/>
      </fieldsUsage>
    </cacheHierarchy>
    <cacheHierarchy uniqueName="[relation].[Traffic_Volume]" caption="Traffic_Volume" attribute="1" defaultMemberUniqueName="[relation].[Traffic_Volume].[All]" allUniqueName="[relation].[Traffic_Volume].[All]" dimensionUniqueName="[relation]" displayFolder="" count="2" memberValueDatatype="20" unbalanced="0"/>
    <cacheHierarchy uniqueName="[relation].[Incidents]" caption="Incidents" attribute="1" defaultMemberUniqueName="[relation].[Incidents].[All]" allUniqueName="[relation].[Incidents].[All]" dimensionUniqueName="[relation]" displayFolder="" count="2" memberValueDatatype="20" unbalanced="0"/>
    <cacheHierarchy uniqueName="[relation].[Date (Month)]" caption="Date (Month)" attribute="1" defaultMemberUniqueName="[relation].[Date (Month)].[All]" allUniqueName="[relation].[Date (Month)].[All]" dimensionUniqueName="[relation]" displayFolder="" count="2" memberValueDatatype="130" unbalanced="0"/>
    <cacheHierarchy uniqueName="[Sheet1].[Date]" caption="Date" attribute="1" time="1" defaultMemberUniqueName="[Sheet1].[Date].[All]" allUniqueName="[Sheet1].[Date].[All]" dimensionUniqueName="[Sheet1]" displayFolder="" count="2" memberValueDatatype="7" unbalanced="0"/>
    <cacheHierarchy uniqueName="[Sheet1].[Time]" caption="Time" attribute="1" defaultMemberUniqueName="[Sheet1].[Time].[All]" allUniqueName="[Sheet1].[Time].[All]" dimensionUniqueName="[Sheet1]" displayFolder="" count="2" memberValueDatatype="130" unbalanced="0"/>
    <cacheHierarchy uniqueName="[Sheet1].[Location]" caption="Location" attribute="1" defaultMemberUniqueName="[Sheet1].[Location].[All]" allUniqueName="[Sheet1].[Location].[All]" dimensionUniqueName="[Sheet1]" displayFolder="" count="2" memberValueDatatype="130" unbalanced="0"/>
    <cacheHierarchy uniqueName="[Sheet1].[Traffic_Volume]" caption="Traffic_Volume" attribute="1" defaultMemberUniqueName="[Sheet1].[Traffic_Volume].[All]" allUniqueName="[Sheet1].[Traffic_Volume].[All]" dimensionUniqueName="[Sheet1]" displayFolder="" count="2" memberValueDatatype="20" unbalanced="0"/>
    <cacheHierarchy uniqueName="[Sheet1].[Incidents]" caption="Incidents" attribute="1" defaultMemberUniqueName="[Sheet1].[Incidents].[All]" allUniqueName="[Sheet1].[Incidents].[All]" dimensionUniqueName="[Sheet1]" displayFolder="" count="2" memberValueDatatype="20" unbalanced="0"/>
    <cacheHierarchy uniqueName="[relation].[Date (Month Index)]" caption="Date (Month Index)" attribute="1" defaultMemberUniqueName="[relation].[Date (Month Index)].[All]" allUniqueName="[relation].[Date (Month Index)].[All]" dimensionUniqueName="[relation]" displayFolder="" count="2" memberValueDatatype="20" unbalanced="0" hidden="1"/>
    <cacheHierarchy uniqueName="[Measures].[__XL_Count Sheet1]" caption="__XL_Count Sheet1" measure="1" displayFolder="" measureGroup="Sheet1" count="0" hidden="1"/>
    <cacheHierarchy uniqueName="[Measures].[__XL_Count relation]" caption="__XL_Count relation" measure="1" displayFolder="" measureGroup="relation" count="0" hidden="1"/>
    <cacheHierarchy uniqueName="[Measures].[__No measures defined]" caption="__No measures defined" measure="1" displayFolder="" count="0" hidden="1"/>
    <cacheHierarchy uniqueName="[Measures].[Sum of Traffic_Volume]" caption="Sum of Traffic_Volume" measure="1" displayFolder="" measureGroup="relation" count="0" hidden="1">
      <extLst>
        <ext xmlns:x15="http://schemas.microsoft.com/office/spreadsheetml/2010/11/main" uri="{B97F6D7D-B522-45F9-BDA1-12C45D357490}">
          <x15:cacheHierarchy aggregatedColumn="3"/>
        </ext>
      </extLst>
    </cacheHierarchy>
    <cacheHierarchy uniqueName="[Measures].[Sum of Incidents]" caption="Sum of Incidents" measure="1" displayFolder="" measureGroup="relation"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relation" uniqueName="[relation]" caption="relation"/>
    <dimension name="Sheet1" uniqueName="[Sheet1]" caption="Sheet1"/>
  </dimensions>
  <measureGroups count="2">
    <measureGroup name="relation" caption="relation"/>
    <measureGroup name="Sheet1" caption="Sheet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12.834506134262" backgroundQuery="1" createdVersion="8" refreshedVersion="8" minRefreshableVersion="3" recordCount="0" supportSubquery="1" supportAdvancedDrill="1" xr:uid="{F49E41AA-2183-451F-935B-DD1E6CB8B9EE}">
  <cacheSource type="external" connectionId="3"/>
  <cacheFields count="2">
    <cacheField name="[relation].[Location].[Location]" caption="Location" numFmtId="0" hierarchy="2" level="1">
      <sharedItems count="3">
        <s v="Downtown"/>
        <s v="Highway"/>
        <s v="Suburbs"/>
      </sharedItems>
    </cacheField>
    <cacheField name="[Measures].[Sum of Traffic_Volume]" caption="Sum of Traffic_Volume" numFmtId="0" hierarchy="15" level="32767"/>
  </cacheFields>
  <cacheHierarchies count="17">
    <cacheHierarchy uniqueName="[relation].[Date]" caption="Date" attribute="1" time="1" defaultMemberUniqueName="[relation].[Date].[All]" allUniqueName="[relation].[Date].[All]" dimensionUniqueName="[relation]" displayFolder="" count="2" memberValueDatatype="7" unbalanced="0"/>
    <cacheHierarchy uniqueName="[relation].[Time]" caption="Time" attribute="1" defaultMemberUniqueName="[relation].[Time].[All]" allUniqueName="[relation].[Time].[All]" dimensionUniqueName="[relation]" displayFolder="" count="2" memberValueDatatype="130" unbalanced="0"/>
    <cacheHierarchy uniqueName="[relation].[Location]" caption="Location" attribute="1" defaultMemberUniqueName="[relation].[Location].[All]" allUniqueName="[relation].[Location].[All]" dimensionUniqueName="[relation]" displayFolder="" count="2" memberValueDatatype="130" unbalanced="0">
      <fieldsUsage count="2">
        <fieldUsage x="-1"/>
        <fieldUsage x="0"/>
      </fieldsUsage>
    </cacheHierarchy>
    <cacheHierarchy uniqueName="[relation].[Traffic_Volume]" caption="Traffic_Volume" attribute="1" defaultMemberUniqueName="[relation].[Traffic_Volume].[All]" allUniqueName="[relation].[Traffic_Volume].[All]" dimensionUniqueName="[relation]" displayFolder="" count="0" memberValueDatatype="20" unbalanced="0"/>
    <cacheHierarchy uniqueName="[relation].[Incidents]" caption="Incidents" attribute="1" defaultMemberUniqueName="[relation].[Incidents].[All]" allUniqueName="[relation].[Incidents].[All]" dimensionUniqueName="[relation]" displayFolder="" count="0" memberValueDatatype="20" unbalanced="0"/>
    <cacheHierarchy uniqueName="[relation].[Date (Month)]" caption="Date (Month)" attribute="1" defaultMemberUniqueName="[relation].[Date (Month)].[All]" allUniqueName="[relation].[Date (Month)].[All]" dimensionUniqueName="[relation]"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Time]" caption="Time" attribute="1" defaultMemberUniqueName="[Sheet1].[Time].[All]" allUniqueName="[Sheet1].[Time].[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Traffic_Volume]" caption="Traffic_Volume" attribute="1" defaultMemberUniqueName="[Sheet1].[Traffic_Volume].[All]" allUniqueName="[Sheet1].[Traffic_Volume].[All]" dimensionUniqueName="[Sheet1]" displayFolder="" count="0" memberValueDatatype="20" unbalanced="0"/>
    <cacheHierarchy uniqueName="[Sheet1].[Incidents]" caption="Incidents" attribute="1" defaultMemberUniqueName="[Sheet1].[Incidents].[All]" allUniqueName="[Sheet1].[Incidents].[All]" dimensionUniqueName="[Sheet1]" displayFolder="" count="0" memberValueDatatype="20" unbalanced="0"/>
    <cacheHierarchy uniqueName="[relation].[Date (Month Index)]" caption="Date (Month Index)" attribute="1" defaultMemberUniqueName="[relation].[Date (Month Index)].[All]" allUniqueName="[relation].[Date (Month Index)].[All]" dimensionUniqueName="[relation]" displayFolder="" count="0" memberValueDatatype="20" unbalanced="0" hidden="1"/>
    <cacheHierarchy uniqueName="[Measures].[__XL_Count Sheet1]" caption="__XL_Count Sheet1" measure="1" displayFolder="" measureGroup="Sheet1" count="0" hidden="1"/>
    <cacheHierarchy uniqueName="[Measures].[__XL_Count relation]" caption="__XL_Count relation" measure="1" displayFolder="" measureGroup="relation" count="0" hidden="1"/>
    <cacheHierarchy uniqueName="[Measures].[__No measures defined]" caption="__No measures defined" measure="1" displayFolder="" count="0" hidden="1"/>
    <cacheHierarchy uniqueName="[Measures].[Sum of Traffic_Volume]" caption="Sum of Traffic_Volume" measure="1" displayFolder="" measureGroup="relation"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Incidents]" caption="Sum of Incidents" measure="1" displayFolder="" measureGroup="relation" count="0" hidden="1">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relation" uniqueName="[relation]" caption="relation"/>
    <dimension name="Sheet1" uniqueName="[Sheet1]" caption="Sheet1"/>
  </dimensions>
  <measureGroups count="2">
    <measureGroup name="relation" caption="relation"/>
    <measureGroup name="Sheet1" caption="Sheet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12.83450740741" backgroundQuery="1" createdVersion="8" refreshedVersion="8" minRefreshableVersion="3" recordCount="0" supportSubquery="1" supportAdvancedDrill="1" xr:uid="{9A817441-AA83-4E9D-A6FE-486A110384CF}">
  <cacheSource type="external" connectionId="3"/>
  <cacheFields count="2">
    <cacheField name="[relation].[Time].[Time]" caption="Time" numFmtId="0" hierarchy="1" level="1">
      <sharedItems count="2">
        <s v="Evening"/>
        <s v="Morning"/>
      </sharedItems>
    </cacheField>
    <cacheField name="[Measures].[Sum of Traffic_Volume]" caption="Sum of Traffic_Volume" numFmtId="0" hierarchy="15" level="32767"/>
  </cacheFields>
  <cacheHierarchies count="17">
    <cacheHierarchy uniqueName="[relation].[Date]" caption="Date" attribute="1" time="1" defaultMemberUniqueName="[relation].[Date].[All]" allUniqueName="[relation].[Date].[All]" dimensionUniqueName="[relation]" displayFolder="" count="2" memberValueDatatype="7" unbalanced="0"/>
    <cacheHierarchy uniqueName="[relation].[Time]" caption="Time" attribute="1" defaultMemberUniqueName="[relation].[Time].[All]" allUniqueName="[relation].[Time].[All]" dimensionUniqueName="[relation]" displayFolder="" count="2" memberValueDatatype="130" unbalanced="0">
      <fieldsUsage count="2">
        <fieldUsage x="-1"/>
        <fieldUsage x="0"/>
      </fieldsUsage>
    </cacheHierarchy>
    <cacheHierarchy uniqueName="[relation].[Location]" caption="Location" attribute="1" defaultMemberUniqueName="[relation].[Location].[All]" allUniqueName="[relation].[Location].[All]" dimensionUniqueName="[relation]" displayFolder="" count="2" memberValueDatatype="130" unbalanced="0"/>
    <cacheHierarchy uniqueName="[relation].[Traffic_Volume]" caption="Traffic_Volume" attribute="1" defaultMemberUniqueName="[relation].[Traffic_Volume].[All]" allUniqueName="[relation].[Traffic_Volume].[All]" dimensionUniqueName="[relation]" displayFolder="" count="0" memberValueDatatype="20" unbalanced="0"/>
    <cacheHierarchy uniqueName="[relation].[Incidents]" caption="Incidents" attribute="1" defaultMemberUniqueName="[relation].[Incidents].[All]" allUniqueName="[relation].[Incidents].[All]" dimensionUniqueName="[relation]" displayFolder="" count="0" memberValueDatatype="20" unbalanced="0"/>
    <cacheHierarchy uniqueName="[relation].[Date (Month)]" caption="Date (Month)" attribute="1" defaultMemberUniqueName="[relation].[Date (Month)].[All]" allUniqueName="[relation].[Date (Month)].[All]" dimensionUniqueName="[relation]"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Time]" caption="Time" attribute="1" defaultMemberUniqueName="[Sheet1].[Time].[All]" allUniqueName="[Sheet1].[Time].[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Traffic_Volume]" caption="Traffic_Volume" attribute="1" defaultMemberUniqueName="[Sheet1].[Traffic_Volume].[All]" allUniqueName="[Sheet1].[Traffic_Volume].[All]" dimensionUniqueName="[Sheet1]" displayFolder="" count="0" memberValueDatatype="20" unbalanced="0"/>
    <cacheHierarchy uniqueName="[Sheet1].[Incidents]" caption="Incidents" attribute="1" defaultMemberUniqueName="[Sheet1].[Incidents].[All]" allUniqueName="[Sheet1].[Incidents].[All]" dimensionUniqueName="[Sheet1]" displayFolder="" count="0" memberValueDatatype="20" unbalanced="0"/>
    <cacheHierarchy uniqueName="[relation].[Date (Month Index)]" caption="Date (Month Index)" attribute="1" defaultMemberUniqueName="[relation].[Date (Month Index)].[All]" allUniqueName="[relation].[Date (Month Index)].[All]" dimensionUniqueName="[relation]" displayFolder="" count="0" memberValueDatatype="20" unbalanced="0" hidden="1"/>
    <cacheHierarchy uniqueName="[Measures].[__XL_Count Sheet1]" caption="__XL_Count Sheet1" measure="1" displayFolder="" measureGroup="Sheet1" count="0" hidden="1"/>
    <cacheHierarchy uniqueName="[Measures].[__XL_Count relation]" caption="__XL_Count relation" measure="1" displayFolder="" measureGroup="relation" count="0" hidden="1"/>
    <cacheHierarchy uniqueName="[Measures].[__No measures defined]" caption="__No measures defined" measure="1" displayFolder="" count="0" hidden="1"/>
    <cacheHierarchy uniqueName="[Measures].[Sum of Traffic_Volume]" caption="Sum of Traffic_Volume" measure="1" displayFolder="" measureGroup="relation"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Incidents]" caption="Sum of Incidents" measure="1" displayFolder="" measureGroup="relation" count="0" hidden="1">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relation" uniqueName="[relation]" caption="relation"/>
    <dimension name="Sheet1" uniqueName="[Sheet1]" caption="Sheet1"/>
  </dimensions>
  <measureGroups count="2">
    <measureGroup name="relation" caption="relation"/>
    <measureGroup name="Sheet1" caption="Sheet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12.834870949075" backgroundQuery="1" createdVersion="8" refreshedVersion="8" minRefreshableVersion="3" recordCount="0" supportSubquery="1" supportAdvancedDrill="1" xr:uid="{2F7DB481-63BA-4DF2-A538-05F1A7704D05}">
  <cacheSource type="external" connectionId="3"/>
  <cacheFields count="2">
    <cacheField name="[relation].[Date (Month)].[Date (Month)]" caption="Date (Month)" numFmtId="0" hierarchy="5" level="1">
      <sharedItems count="4">
        <s v="Jan"/>
        <s v="Feb"/>
        <s v="Mar"/>
        <s v="Apr"/>
      </sharedItems>
    </cacheField>
    <cacheField name="[Measures].[Sum of Incidents]" caption="Sum of Incidents" numFmtId="0" hierarchy="16" level="32767"/>
  </cacheFields>
  <cacheHierarchies count="17">
    <cacheHierarchy uniqueName="[relation].[Date]" caption="Date" attribute="1" time="1" defaultMemberUniqueName="[relation].[Date].[All]" allUniqueName="[relation].[Date].[All]" dimensionUniqueName="[relation]" displayFolder="" count="2" memberValueDatatype="7" unbalanced="0"/>
    <cacheHierarchy uniqueName="[relation].[Time]" caption="Time" attribute="1" defaultMemberUniqueName="[relation].[Time].[All]" allUniqueName="[relation].[Time].[All]" dimensionUniqueName="[relation]" displayFolder="" count="2" memberValueDatatype="130" unbalanced="0"/>
    <cacheHierarchy uniqueName="[relation].[Location]" caption="Location" attribute="1" defaultMemberUniqueName="[relation].[Location].[All]" allUniqueName="[relation].[Location].[All]" dimensionUniqueName="[relation]" displayFolder="" count="2" memberValueDatatype="130" unbalanced="0"/>
    <cacheHierarchy uniqueName="[relation].[Traffic_Volume]" caption="Traffic_Volume" attribute="1" defaultMemberUniqueName="[relation].[Traffic_Volume].[All]" allUniqueName="[relation].[Traffic_Volume].[All]" dimensionUniqueName="[relation]" displayFolder="" count="2" memberValueDatatype="20" unbalanced="0"/>
    <cacheHierarchy uniqueName="[relation].[Incidents]" caption="Incidents" attribute="1" defaultMemberUniqueName="[relation].[Incidents].[All]" allUniqueName="[relation].[Incidents].[All]" dimensionUniqueName="[relation]" displayFolder="" count="2" memberValueDatatype="20" unbalanced="0"/>
    <cacheHierarchy uniqueName="[relation].[Date (Month)]" caption="Date (Month)" attribute="1" defaultMemberUniqueName="[relation].[Date (Month)].[All]" allUniqueName="[relation].[Date (Month)].[All]" dimensionUniqueName="[relation]" displayFolder="" count="2" memberValueDatatype="130" unbalanced="0">
      <fieldsUsage count="2">
        <fieldUsage x="-1"/>
        <fieldUsage x="0"/>
      </fieldsUsage>
    </cacheHierarchy>
    <cacheHierarchy uniqueName="[Sheet1].[Date]" caption="Date" attribute="1" time="1" defaultMemberUniqueName="[Sheet1].[Date].[All]" allUniqueName="[Sheet1].[Date].[All]" dimensionUniqueName="[Sheet1]" displayFolder="" count="2" memberValueDatatype="7" unbalanced="0"/>
    <cacheHierarchy uniqueName="[Sheet1].[Time]" caption="Time" attribute="1" defaultMemberUniqueName="[Sheet1].[Time].[All]" allUniqueName="[Sheet1].[Time].[All]" dimensionUniqueName="[Sheet1]" displayFolder="" count="2" memberValueDatatype="130" unbalanced="0"/>
    <cacheHierarchy uniqueName="[Sheet1].[Location]" caption="Location" attribute="1" defaultMemberUniqueName="[Sheet1].[Location].[All]" allUniqueName="[Sheet1].[Location].[All]" dimensionUniqueName="[Sheet1]" displayFolder="" count="2" memberValueDatatype="130" unbalanced="0"/>
    <cacheHierarchy uniqueName="[Sheet1].[Traffic_Volume]" caption="Traffic_Volume" attribute="1" defaultMemberUniqueName="[Sheet1].[Traffic_Volume].[All]" allUniqueName="[Sheet1].[Traffic_Volume].[All]" dimensionUniqueName="[Sheet1]" displayFolder="" count="2" memberValueDatatype="20" unbalanced="0"/>
    <cacheHierarchy uniqueName="[Sheet1].[Incidents]" caption="Incidents" attribute="1" defaultMemberUniqueName="[Sheet1].[Incidents].[All]" allUniqueName="[Sheet1].[Incidents].[All]" dimensionUniqueName="[Sheet1]" displayFolder="" count="2" memberValueDatatype="20" unbalanced="0"/>
    <cacheHierarchy uniqueName="[relation].[Date (Month Index)]" caption="Date (Month Index)" attribute="1" defaultMemberUniqueName="[relation].[Date (Month Index)].[All]" allUniqueName="[relation].[Date (Month Index)].[All]" dimensionUniqueName="[relation]" displayFolder="" count="2" memberValueDatatype="20" unbalanced="0" hidden="1"/>
    <cacheHierarchy uniqueName="[Measures].[__XL_Count Sheet1]" caption="__XL_Count Sheet1" measure="1" displayFolder="" measureGroup="Sheet1" count="0" hidden="1"/>
    <cacheHierarchy uniqueName="[Measures].[__XL_Count relation]" caption="__XL_Count relation" measure="1" displayFolder="" measureGroup="relation" count="0" hidden="1"/>
    <cacheHierarchy uniqueName="[Measures].[__No measures defined]" caption="__No measures defined" measure="1" displayFolder="" count="0" hidden="1"/>
    <cacheHierarchy uniqueName="[Measures].[Sum of Traffic_Volume]" caption="Sum of Traffic_Volume" measure="1" displayFolder="" measureGroup="relation" count="0" hidden="1">
      <extLst>
        <ext xmlns:x15="http://schemas.microsoft.com/office/spreadsheetml/2010/11/main" uri="{B97F6D7D-B522-45F9-BDA1-12C45D357490}">
          <x15:cacheHierarchy aggregatedColumn="3"/>
        </ext>
      </extLst>
    </cacheHierarchy>
    <cacheHierarchy uniqueName="[Measures].[Sum of Incidents]" caption="Sum of Incidents" measure="1" displayFolder="" measureGroup="relation"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relation" uniqueName="[relation]" caption="relation"/>
    <dimension name="Sheet1" uniqueName="[Sheet1]" caption="Sheet1"/>
  </dimensions>
  <measureGroups count="2">
    <measureGroup name="relation" caption="relation"/>
    <measureGroup name="Sheet1" caption="Sheet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08.473775115737" backgroundQuery="1" createdVersion="3" refreshedVersion="8" minRefreshableVersion="3" recordCount="0" supportSubquery="1" supportAdvancedDrill="1" xr:uid="{7D9F6046-1C93-496B-8FE3-414A44301114}">
  <cacheSource type="external" connectionId="3">
    <extLst>
      <ext xmlns:x14="http://schemas.microsoft.com/office/spreadsheetml/2009/9/main" uri="{F057638F-6D5F-4e77-A914-E7F072B9BCA8}">
        <x14:sourceConnection name="ThisWorkbookDataModel"/>
      </ext>
    </extLst>
  </cacheSource>
  <cacheFields count="0"/>
  <cacheHierarchies count="17">
    <cacheHierarchy uniqueName="[relation].[Date]" caption="Date" attribute="1" time="1" defaultMemberUniqueName="[relation].[Date].[All]" allUniqueName="[relation].[Date].[All]" dimensionUniqueName="[relation]" displayFolder="" count="0" memberValueDatatype="7" unbalanced="0"/>
    <cacheHierarchy uniqueName="[relation].[Time]" caption="Time" attribute="1" defaultMemberUniqueName="[relation].[Time].[All]" allUniqueName="[relation].[Time].[All]" dimensionUniqueName="[relation]" displayFolder="" count="2" memberValueDatatype="130" unbalanced="0"/>
    <cacheHierarchy uniqueName="[relation].[Location]" caption="Location" attribute="1" defaultMemberUniqueName="[relation].[Location].[All]" allUniqueName="[relation].[Location].[All]" dimensionUniqueName="[relation]" displayFolder="" count="2" memberValueDatatype="130" unbalanced="0"/>
    <cacheHierarchy uniqueName="[relation].[Traffic_Volume]" caption="Traffic_Volume" attribute="1" defaultMemberUniqueName="[relation].[Traffic_Volume].[All]" allUniqueName="[relation].[Traffic_Volume].[All]" dimensionUniqueName="[relation]" displayFolder="" count="0" memberValueDatatype="20" unbalanced="0"/>
    <cacheHierarchy uniqueName="[relation].[Incidents]" caption="Incidents" attribute="1" defaultMemberUniqueName="[relation].[Incidents].[All]" allUniqueName="[relation].[Incidents].[All]" dimensionUniqueName="[relation]" displayFolder="" count="0" memberValueDatatype="20" unbalanced="0"/>
    <cacheHierarchy uniqueName="[relation].[Date (Month)]" caption="Date (Month)" attribute="1" defaultMemberUniqueName="[relation].[Date (Month)].[All]" allUniqueName="[relation].[Date (Month)].[All]" dimensionUniqueName="[relation]" displayFolder="" count="2" memberValueDatatype="130" unbalanced="0"/>
    <cacheHierarchy uniqueName="[Sheet1].[Date]" caption="Date" attribute="1" time="1" defaultMemberUniqueName="[Sheet1].[Date].[All]" allUniqueName="[Sheet1].[Date].[All]" dimensionUniqueName="[Sheet1]" displayFolder="" count="0" memberValueDatatype="7" unbalanced="0"/>
    <cacheHierarchy uniqueName="[Sheet1].[Time]" caption="Time" attribute="1" defaultMemberUniqueName="[Sheet1].[Time].[All]" allUniqueName="[Sheet1].[Time].[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Traffic_Volume]" caption="Traffic_Volume" attribute="1" defaultMemberUniqueName="[Sheet1].[Traffic_Volume].[All]" allUniqueName="[Sheet1].[Traffic_Volume].[All]" dimensionUniqueName="[Sheet1]" displayFolder="" count="0" memberValueDatatype="20" unbalanced="0"/>
    <cacheHierarchy uniqueName="[Sheet1].[Incidents]" caption="Incidents" attribute="1" defaultMemberUniqueName="[Sheet1].[Incidents].[All]" allUniqueName="[Sheet1].[Incidents].[All]" dimensionUniqueName="[Sheet1]" displayFolder="" count="0" memberValueDatatype="20" unbalanced="0"/>
    <cacheHierarchy uniqueName="[relation].[Date (Month Index)]" caption="Date (Month Index)" attribute="1" defaultMemberUniqueName="[relation].[Date (Month Index)].[All]" allUniqueName="[relation].[Date (Month Index)].[All]" dimensionUniqueName="[relation]" displayFolder="" count="0" memberValueDatatype="20" unbalanced="0" hidden="1"/>
    <cacheHierarchy uniqueName="[Measures].[__XL_Count Sheet1]" caption="__XL_Count Sheet1" measure="1" displayFolder="" measureGroup="Sheet1" count="0" hidden="1"/>
    <cacheHierarchy uniqueName="[Measures].[__XL_Count relation]" caption="__XL_Count relation" measure="1" displayFolder="" measureGroup="relation" count="0" hidden="1"/>
    <cacheHierarchy uniqueName="[Measures].[__No measures defined]" caption="__No measures defined" measure="1" displayFolder="" count="0" hidden="1"/>
    <cacheHierarchy uniqueName="[Measures].[Sum of Traffic_Volume]" caption="Sum of Traffic_Volume" measure="1" displayFolder="" measureGroup="relation" count="0" hidden="1">
      <extLst>
        <ext xmlns:x15="http://schemas.microsoft.com/office/spreadsheetml/2010/11/main" uri="{B97F6D7D-B522-45F9-BDA1-12C45D357490}">
          <x15:cacheHierarchy aggregatedColumn="3"/>
        </ext>
      </extLst>
    </cacheHierarchy>
    <cacheHierarchy uniqueName="[Measures].[Sum of Incidents]" caption="Sum of Incidents" measure="1" displayFolder="" measureGroup="relation"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43831524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27D03A-DD9D-4F9B-B536-AA4E687A499D}" name="Incidents date"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Incidents"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ffic_Volume.xlsx!relation">
        <x15:activeTabTopLevelEntity name="[rel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22EAAB-0F31-46EE-8DC3-5209D779604A}" name="Incident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D6" firstHeaderRow="1" firstDataRow="2" firstDataCol="1"/>
  <pivotFields count="3">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4">
    <i>
      <x/>
    </i>
    <i>
      <x v="1"/>
    </i>
    <i>
      <x v="2"/>
    </i>
    <i t="grand">
      <x/>
    </i>
  </rowItems>
  <colFields count="1">
    <field x="2"/>
  </colFields>
  <colItems count="3">
    <i>
      <x/>
    </i>
    <i>
      <x v="1"/>
    </i>
    <i t="grand">
      <x/>
    </i>
  </colItems>
  <dataFields count="1">
    <dataField name="Sum of Incidents" fld="1"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s>
  <pivotHierarchies count="17">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ffic_Volume.xlsx!relation">
        <x15:activeTabTopLevelEntity name="[rel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46E3E1-E4D1-4F28-A073-26672E086B10}" name="location"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B6"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Traffic_Volume"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7">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ffic_Volume.xlsx!relation">
        <x15:activeTabTopLevelEntity name="[rel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3CD817-1AEB-4F4D-84F2-AB7E8637F4DA}" name="tim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Traffic_Volume" fld="1" baseField="0" baseItem="0"/>
  </dataField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1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ffic_Volume.xlsx!relation">
        <x15:activeTabTopLevelEntity name="[rel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D99252-535E-4969-9A1B-41C54E52878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Incidents" fld="1" baseField="0" baseItem="0"/>
  </dataField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ffic_Volume.xlsx!relation">
        <x15:activeTabTopLevelEntity name="[relatio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65943E9-87A3-4B5D-95A6-FAC85A6EB1B0}" autoFormatId="16" applyNumberFormats="0" applyBorderFormats="0" applyFontFormats="0" applyPatternFormats="0" applyAlignmentFormats="0" applyWidthHeightFormats="0">
  <queryTableRefresh nextId="6" unboundColumnsLeft="3">
    <queryTableFields count="5">
      <queryTableField id="1" dataBound="0" tableColumnId="1"/>
      <queryTableField id="2" dataBound="0" tableColumnId="2"/>
      <queryTableField id="3" dataBound="0" tableColumnId="3"/>
      <queryTableField id="4" name="Traffic_Volume" tableColumnId="4"/>
      <queryTableField id="5" name="Incidents" tableColumnId="5"/>
    </queryTableFields>
    <queryTableDeletedFields count="3">
      <deletedField name="Date"/>
      <deletedField name="Time"/>
      <deletedField name="Location"/>
    </queryTableDeletedFields>
  </queryTableRefresh>
  <extLst>
    <ext xmlns:x15="http://schemas.microsoft.com/office/spreadsheetml/2010/11/main" uri="{883FBD77-0823-4a55-B5E3-86C4891E6966}">
      <x15:queryTable sourceDataName="Query - Sheet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D6012A27-4E56-4948-81BF-62AA0A85C664}" sourceName="[relation].[Location]">
  <pivotTables>
    <pivotTable tabId="4" name="Incidents"/>
    <pivotTable tabId="5" name="Incidents date"/>
    <pivotTable tabId="2" name="location"/>
    <pivotTable tabId="3" name="time"/>
  </pivotTables>
  <data>
    <olap pivotCacheId="438315247">
      <levels count="2">
        <level uniqueName="[relation].[Location].[(All)]" sourceCaption="(All)" count="0"/>
        <level uniqueName="[relation].[Location].[Location]" sourceCaption="Location" count="3">
          <ranges>
            <range startItem="0">
              <i n="[relation].[Location].&amp;[Downtown]" c="Downtown"/>
              <i n="[relation].[Location].&amp;[Highway]" c="Highway"/>
              <i n="[relation].[Location].&amp;[Suburbs]" c="Suburbs"/>
            </range>
          </ranges>
        </level>
      </levels>
      <selections count="1">
        <selection n="[relation].[Locat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 xr10:uid="{B55D83C5-03C6-4FA8-8E7E-B01CFC75D8A6}" sourceName="[relation].[Time]">
  <pivotTables>
    <pivotTable tabId="4" name="Incidents"/>
    <pivotTable tabId="2" name="location"/>
  </pivotTables>
  <data>
    <olap pivotCacheId="438315247">
      <levels count="2">
        <level uniqueName="[relation].[Time].[(All)]" sourceCaption="(All)" count="0"/>
        <level uniqueName="[relation].[Time].[Time]" sourceCaption="Time" count="2">
          <ranges>
            <range startItem="0">
              <i n="[relation].[Time].&amp;[Evening]" c="Evening"/>
              <i n="[relation].[Time].&amp;[Morning]" c="Morning"/>
            </range>
          </ranges>
        </level>
      </levels>
      <selections count="1">
        <selection n="[relation].[Ti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A5C6F61C-0BEE-4477-8FAB-091FCFE33002}" sourceName="[relation].[Date (Month)]">
  <pivotTables>
    <pivotTable tabId="5" name="Incidents date"/>
  </pivotTables>
  <data>
    <olap pivotCacheId="438315247">
      <levels count="2">
        <level uniqueName="[relation].[Date (Month)].[(All)]" sourceCaption="(All)" count="0"/>
        <level uniqueName="[relation].[Date (Month)].[Date (Month)]" sourceCaption="Date (Month)" count="4">
          <ranges>
            <range startItem="0">
              <i n="[relation].[Date (Month)].&amp;[Jan]" c="Jan"/>
              <i n="[relation].[Date (Month)].&amp;[Feb]" c="Feb"/>
              <i n="[relation].[Date (Month)].&amp;[Mar]" c="Mar"/>
              <i n="[relation].[Date (Month)].&amp;[Apr]" c="Apr"/>
            </range>
          </ranges>
        </level>
      </levels>
      <selections count="1">
        <selection n="[relation].[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FE9E81F0-D5C4-48B8-A935-B2F47DA97A15}" cache="Slicer_Location" caption="Location" level="1" rowHeight="247650"/>
  <slicer name="Time" xr10:uid="{9474EA62-07E1-4C14-BB41-9414DC782DA1}" cache="Slicer_Time" caption="Time" level="1" rowHeight="247650"/>
  <slicer name="Date (Month)" xr10:uid="{B1BD15CB-9125-412E-A34D-8A3F74CBEEEB}" cache="Slicer_Date__Month" caption="Date (Month)"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68016F-6DB7-4B72-AFA1-66013586CBAD}" name="relation" displayName="relation" ref="A1:E101" tableType="queryTable" totalsRowShown="0">
  <autoFilter ref="A1:E101" xr:uid="{7E68016F-6DB7-4B72-AFA1-66013586CBAD}"/>
  <tableColumns count="5">
    <tableColumn id="1" xr3:uid="{9ED6214F-917B-4343-82EB-59142136945F}" uniqueName="1" name="Date" queryTableFieldId="1" dataDxfId="2"/>
    <tableColumn id="2" xr3:uid="{05F592FC-49E9-477F-ADB4-312A4B493141}" uniqueName="2" name="Time" queryTableFieldId="2" dataDxfId="1"/>
    <tableColumn id="3" xr3:uid="{8A2AE3FA-935D-4EE7-B010-D7330835BEBD}" uniqueName="3" name="Location" queryTableFieldId="3" dataDxfId="0"/>
    <tableColumn id="4" xr3:uid="{9273EBDD-7910-462A-B3DF-08A3DA1E0E77}" uniqueName="4" name="Traffic_Volume" queryTableFieldId="4"/>
    <tableColumn id="5" xr3:uid="{D314CDBD-CA48-4CD9-B4DB-5115909CD53D}" uniqueName="5" name="Incidents" queryTableFieldId="5"/>
  </tableColumns>
  <tableStyleInfo name="TableStyleMedium7" showFirstColumn="0" showLastColumn="0" showRowStripes="1" showColumnStripes="0"/>
</table>
</file>

<file path=xl/theme/theme1.xml><?xml version="1.0" encoding="utf-8"?>
<a:theme xmlns:a="http://schemas.openxmlformats.org/drawingml/2006/main" name="Vapor Trail">
  <a:themeElements>
    <a:clrScheme name="Vapor Trail">
      <a:dk1>
        <a:sysClr val="windowText" lastClr="000000"/>
      </a:dk1>
      <a:lt1>
        <a:sysClr val="window" lastClr="FFFFFF"/>
      </a:lt1>
      <a:dk2>
        <a:srgbClr val="454545"/>
      </a:dk2>
      <a:lt2>
        <a:srgbClr val="DADADA"/>
      </a:lt2>
      <a:accent1>
        <a:srgbClr val="DF2E28"/>
      </a:accent1>
      <a:accent2>
        <a:srgbClr val="FE801A"/>
      </a:accent2>
      <a:accent3>
        <a:srgbClr val="E9BF35"/>
      </a:accent3>
      <a:accent4>
        <a:srgbClr val="81BB42"/>
      </a:accent4>
      <a:accent5>
        <a:srgbClr val="32C7A9"/>
      </a:accent5>
      <a:accent6>
        <a:srgbClr val="4A9BDC"/>
      </a:accent6>
      <a:hlink>
        <a:srgbClr val="F0532B"/>
      </a:hlink>
      <a:folHlink>
        <a:srgbClr val="F38B53"/>
      </a:folHlink>
    </a:clrScheme>
    <a:fontScheme name="Vapor Trail">
      <a:majorFont>
        <a:latin typeface="Century Gothic" panose="020B0502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Vapor Trail">
      <a:fillStyleLst>
        <a:solidFill>
          <a:schemeClr val="phClr"/>
        </a:solidFill>
        <a:gradFill rotWithShape="1">
          <a:gsLst>
            <a:gs pos="0">
              <a:schemeClr val="phClr">
                <a:tint val="69000"/>
                <a:alpha val="100000"/>
                <a:satMod val="109000"/>
                <a:lumMod val="110000"/>
              </a:schemeClr>
            </a:gs>
            <a:gs pos="52000">
              <a:schemeClr val="phClr">
                <a:tint val="74000"/>
                <a:satMod val="100000"/>
                <a:lumMod val="104000"/>
              </a:schemeClr>
            </a:gs>
            <a:gs pos="100000">
              <a:schemeClr val="phClr">
                <a:tint val="78000"/>
                <a:satMod val="100000"/>
                <a:lumMod val="100000"/>
              </a:schemeClr>
            </a:gs>
          </a:gsLst>
          <a:lin ang="5400000" scaled="0"/>
        </a:gradFill>
        <a:gradFill rotWithShape="1">
          <a:gsLst>
            <a:gs pos="0">
              <a:schemeClr val="phClr">
                <a:tint val="96000"/>
                <a:satMod val="100000"/>
                <a:lumMod val="104000"/>
              </a:schemeClr>
            </a:gs>
            <a:gs pos="78000">
              <a:schemeClr val="phClr">
                <a:shade val="100000"/>
                <a:satMod val="110000"/>
                <a:lumMod val="100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cene3d>
            <a:camera prst="orthographicFront">
              <a:rot lat="0" lon="0" rev="0"/>
            </a:camera>
            <a:lightRig rig="threePt" dir="t"/>
          </a:scene3d>
          <a:sp3d>
            <a:bevelT w="25400" h="12700"/>
          </a:sp3d>
        </a:effectStyle>
        <a:effectStyle>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Vapor Trail" id="{4FDF2955-7D9C-493C-B9F9-C205151B46CD}" vid="{8F31A783-2159-4870-BC29-2BA7D038EA44}"/>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08B0A-2DC0-4BCB-9B6B-0552046C2CC3}">
  <dimension ref="A1:I101"/>
  <sheetViews>
    <sheetView workbookViewId="0">
      <selection activeCell="H15" sqref="H15"/>
    </sheetView>
  </sheetViews>
  <sheetFormatPr defaultRowHeight="13.8" x14ac:dyDescent="0.25"/>
  <cols>
    <col min="1" max="1" width="9.296875" customWidth="1"/>
    <col min="3" max="3" width="10.296875" customWidth="1"/>
    <col min="4" max="4" width="15.59765625" customWidth="1"/>
  </cols>
  <sheetData>
    <row r="1" spans="1:9" x14ac:dyDescent="0.25">
      <c r="A1" t="s">
        <v>0</v>
      </c>
      <c r="B1" t="s">
        <v>1</v>
      </c>
      <c r="C1" t="s">
        <v>2</v>
      </c>
      <c r="D1" t="s">
        <v>3</v>
      </c>
      <c r="E1" t="s">
        <v>4</v>
      </c>
    </row>
    <row r="2" spans="1:9" x14ac:dyDescent="0.25">
      <c r="A2" s="1">
        <v>45292</v>
      </c>
      <c r="B2" t="s">
        <v>5</v>
      </c>
      <c r="C2" t="s">
        <v>6</v>
      </c>
      <c r="D2">
        <v>1623</v>
      </c>
      <c r="E2">
        <v>0</v>
      </c>
    </row>
    <row r="3" spans="1:9" x14ac:dyDescent="0.25">
      <c r="A3" s="1">
        <v>45293</v>
      </c>
      <c r="B3" t="s">
        <v>5</v>
      </c>
      <c r="C3" t="s">
        <v>7</v>
      </c>
      <c r="D3">
        <v>1980</v>
      </c>
      <c r="E3">
        <v>3</v>
      </c>
    </row>
    <row r="4" spans="1:9" x14ac:dyDescent="0.25">
      <c r="A4" s="1">
        <v>45294</v>
      </c>
      <c r="B4" t="s">
        <v>5</v>
      </c>
      <c r="C4" t="s">
        <v>8</v>
      </c>
      <c r="D4">
        <v>277</v>
      </c>
      <c r="E4">
        <v>0</v>
      </c>
    </row>
    <row r="5" spans="1:9" x14ac:dyDescent="0.25">
      <c r="A5" s="1">
        <v>45295</v>
      </c>
      <c r="B5" t="s">
        <v>5</v>
      </c>
      <c r="C5" t="s">
        <v>6</v>
      </c>
      <c r="D5">
        <v>1057</v>
      </c>
      <c r="E5">
        <v>4</v>
      </c>
    </row>
    <row r="6" spans="1:9" x14ac:dyDescent="0.25">
      <c r="A6" s="1">
        <v>45296</v>
      </c>
      <c r="B6" t="s">
        <v>9</v>
      </c>
      <c r="C6" t="s">
        <v>7</v>
      </c>
      <c r="D6">
        <v>1805</v>
      </c>
      <c r="E6">
        <v>1</v>
      </c>
    </row>
    <row r="7" spans="1:9" x14ac:dyDescent="0.25">
      <c r="A7" s="1">
        <v>45297</v>
      </c>
      <c r="B7" t="s">
        <v>5</v>
      </c>
      <c r="C7" t="s">
        <v>8</v>
      </c>
      <c r="D7">
        <v>1872</v>
      </c>
      <c r="E7">
        <v>2</v>
      </c>
      <c r="H7" s="4" t="s">
        <v>19</v>
      </c>
      <c r="I7" s="4"/>
    </row>
    <row r="8" spans="1:9" x14ac:dyDescent="0.25">
      <c r="A8" s="1">
        <v>45298</v>
      </c>
      <c r="B8" t="s">
        <v>5</v>
      </c>
      <c r="C8" t="s">
        <v>6</v>
      </c>
      <c r="D8">
        <v>1399</v>
      </c>
      <c r="E8">
        <v>0</v>
      </c>
      <c r="H8" s="4">
        <f>SUM(E:E)</f>
        <v>193</v>
      </c>
      <c r="I8" s="4"/>
    </row>
    <row r="9" spans="1:9" x14ac:dyDescent="0.25">
      <c r="A9" s="1">
        <v>45299</v>
      </c>
      <c r="B9" t="s">
        <v>9</v>
      </c>
      <c r="C9" t="s">
        <v>8</v>
      </c>
      <c r="D9">
        <v>1796</v>
      </c>
      <c r="E9">
        <v>4</v>
      </c>
    </row>
    <row r="10" spans="1:9" x14ac:dyDescent="0.25">
      <c r="A10" s="1">
        <v>45300</v>
      </c>
      <c r="B10" t="s">
        <v>9</v>
      </c>
      <c r="C10" t="s">
        <v>6</v>
      </c>
      <c r="D10">
        <v>1827</v>
      </c>
      <c r="E10">
        <v>4</v>
      </c>
    </row>
    <row r="11" spans="1:9" x14ac:dyDescent="0.25">
      <c r="A11" s="1">
        <v>45301</v>
      </c>
      <c r="B11" t="s">
        <v>5</v>
      </c>
      <c r="C11" t="s">
        <v>8</v>
      </c>
      <c r="D11">
        <v>344</v>
      </c>
      <c r="E11">
        <v>3</v>
      </c>
    </row>
    <row r="12" spans="1:9" x14ac:dyDescent="0.25">
      <c r="A12" s="1">
        <v>45302</v>
      </c>
      <c r="B12" t="s">
        <v>5</v>
      </c>
      <c r="C12" t="s">
        <v>6</v>
      </c>
      <c r="D12">
        <v>1659</v>
      </c>
      <c r="E12">
        <v>1</v>
      </c>
    </row>
    <row r="13" spans="1:9" x14ac:dyDescent="0.25">
      <c r="A13" s="1">
        <v>45303</v>
      </c>
      <c r="B13" t="s">
        <v>5</v>
      </c>
      <c r="C13" t="s">
        <v>6</v>
      </c>
      <c r="D13">
        <v>780</v>
      </c>
      <c r="E13">
        <v>0</v>
      </c>
    </row>
    <row r="14" spans="1:9" x14ac:dyDescent="0.25">
      <c r="A14" s="1">
        <v>45304</v>
      </c>
      <c r="B14" t="s">
        <v>9</v>
      </c>
      <c r="C14" t="s">
        <v>8</v>
      </c>
      <c r="D14">
        <v>1108</v>
      </c>
      <c r="E14">
        <v>2</v>
      </c>
    </row>
    <row r="15" spans="1:9" x14ac:dyDescent="0.25">
      <c r="A15" s="1">
        <v>45305</v>
      </c>
      <c r="B15" t="s">
        <v>5</v>
      </c>
      <c r="C15" t="s">
        <v>6</v>
      </c>
      <c r="D15">
        <v>1118</v>
      </c>
      <c r="E15">
        <v>4</v>
      </c>
    </row>
    <row r="16" spans="1:9" x14ac:dyDescent="0.25">
      <c r="A16" s="1">
        <v>45306</v>
      </c>
      <c r="B16" t="s">
        <v>9</v>
      </c>
      <c r="C16" t="s">
        <v>8</v>
      </c>
      <c r="D16">
        <v>348</v>
      </c>
      <c r="E16">
        <v>0</v>
      </c>
    </row>
    <row r="17" spans="1:5" x14ac:dyDescent="0.25">
      <c r="A17" s="1">
        <v>45307</v>
      </c>
      <c r="B17" t="s">
        <v>5</v>
      </c>
      <c r="C17" t="s">
        <v>7</v>
      </c>
      <c r="D17">
        <v>1826</v>
      </c>
      <c r="E17">
        <v>0</v>
      </c>
    </row>
    <row r="18" spans="1:5" x14ac:dyDescent="0.25">
      <c r="A18" s="1">
        <v>45308</v>
      </c>
      <c r="B18" t="s">
        <v>9</v>
      </c>
      <c r="C18" t="s">
        <v>8</v>
      </c>
      <c r="D18">
        <v>273</v>
      </c>
      <c r="E18">
        <v>1</v>
      </c>
    </row>
    <row r="19" spans="1:5" x14ac:dyDescent="0.25">
      <c r="A19" s="1">
        <v>45309</v>
      </c>
      <c r="B19" t="s">
        <v>5</v>
      </c>
      <c r="C19" t="s">
        <v>6</v>
      </c>
      <c r="D19">
        <v>541</v>
      </c>
      <c r="E19">
        <v>2</v>
      </c>
    </row>
    <row r="20" spans="1:5" x14ac:dyDescent="0.25">
      <c r="A20" s="1">
        <v>45310</v>
      </c>
      <c r="B20" t="s">
        <v>5</v>
      </c>
      <c r="C20" t="s">
        <v>6</v>
      </c>
      <c r="D20">
        <v>816</v>
      </c>
      <c r="E20">
        <v>4</v>
      </c>
    </row>
    <row r="21" spans="1:5" x14ac:dyDescent="0.25">
      <c r="A21" s="1">
        <v>45311</v>
      </c>
      <c r="B21" t="s">
        <v>9</v>
      </c>
      <c r="C21" t="s">
        <v>7</v>
      </c>
      <c r="D21">
        <v>1064</v>
      </c>
      <c r="E21">
        <v>3</v>
      </c>
    </row>
    <row r="22" spans="1:5" x14ac:dyDescent="0.25">
      <c r="A22" s="1">
        <v>45312</v>
      </c>
      <c r="B22" t="s">
        <v>9</v>
      </c>
      <c r="C22" t="s">
        <v>6</v>
      </c>
      <c r="D22">
        <v>1222</v>
      </c>
      <c r="E22">
        <v>0</v>
      </c>
    </row>
    <row r="23" spans="1:5" x14ac:dyDescent="0.25">
      <c r="A23" s="1">
        <v>45313</v>
      </c>
      <c r="B23" t="s">
        <v>9</v>
      </c>
      <c r="C23" t="s">
        <v>7</v>
      </c>
      <c r="D23">
        <v>784</v>
      </c>
      <c r="E23">
        <v>0</v>
      </c>
    </row>
    <row r="24" spans="1:5" x14ac:dyDescent="0.25">
      <c r="A24" s="1">
        <v>45314</v>
      </c>
      <c r="B24" t="s">
        <v>5</v>
      </c>
      <c r="C24" t="s">
        <v>6</v>
      </c>
      <c r="D24">
        <v>1408</v>
      </c>
      <c r="E24">
        <v>3</v>
      </c>
    </row>
    <row r="25" spans="1:5" x14ac:dyDescent="0.25">
      <c r="A25" s="1">
        <v>45315</v>
      </c>
      <c r="B25" t="s">
        <v>9</v>
      </c>
      <c r="C25" t="s">
        <v>7</v>
      </c>
      <c r="D25">
        <v>1244</v>
      </c>
      <c r="E25">
        <v>3</v>
      </c>
    </row>
    <row r="26" spans="1:5" x14ac:dyDescent="0.25">
      <c r="A26" s="1">
        <v>45316</v>
      </c>
      <c r="B26" t="s">
        <v>5</v>
      </c>
      <c r="C26" t="s">
        <v>7</v>
      </c>
      <c r="D26">
        <v>1655</v>
      </c>
      <c r="E26">
        <v>4</v>
      </c>
    </row>
    <row r="27" spans="1:5" x14ac:dyDescent="0.25">
      <c r="A27" s="1">
        <v>45317</v>
      </c>
      <c r="B27" t="s">
        <v>5</v>
      </c>
      <c r="C27" t="s">
        <v>7</v>
      </c>
      <c r="D27">
        <v>1508</v>
      </c>
      <c r="E27">
        <v>1</v>
      </c>
    </row>
    <row r="28" spans="1:5" x14ac:dyDescent="0.25">
      <c r="A28" s="1">
        <v>45318</v>
      </c>
      <c r="B28" t="s">
        <v>9</v>
      </c>
      <c r="C28" t="s">
        <v>6</v>
      </c>
      <c r="D28">
        <v>909</v>
      </c>
      <c r="E28">
        <v>2</v>
      </c>
    </row>
    <row r="29" spans="1:5" x14ac:dyDescent="0.25">
      <c r="A29" s="1">
        <v>45319</v>
      </c>
      <c r="B29" t="s">
        <v>5</v>
      </c>
      <c r="C29" t="s">
        <v>6</v>
      </c>
      <c r="D29">
        <v>1497</v>
      </c>
      <c r="E29">
        <v>1</v>
      </c>
    </row>
    <row r="30" spans="1:5" x14ac:dyDescent="0.25">
      <c r="A30" s="1">
        <v>45320</v>
      </c>
      <c r="B30" t="s">
        <v>9</v>
      </c>
      <c r="C30" t="s">
        <v>6</v>
      </c>
      <c r="D30">
        <v>805</v>
      </c>
      <c r="E30">
        <v>4</v>
      </c>
    </row>
    <row r="31" spans="1:5" x14ac:dyDescent="0.25">
      <c r="A31" s="1">
        <v>45321</v>
      </c>
      <c r="B31" t="s">
        <v>5</v>
      </c>
      <c r="C31" t="s">
        <v>7</v>
      </c>
      <c r="D31">
        <v>1152</v>
      </c>
      <c r="E31">
        <v>0</v>
      </c>
    </row>
    <row r="32" spans="1:5" x14ac:dyDescent="0.25">
      <c r="A32" s="1">
        <v>45322</v>
      </c>
      <c r="B32" t="s">
        <v>9</v>
      </c>
      <c r="C32" t="s">
        <v>8</v>
      </c>
      <c r="D32">
        <v>1489</v>
      </c>
      <c r="E32">
        <v>1</v>
      </c>
    </row>
    <row r="33" spans="1:5" x14ac:dyDescent="0.25">
      <c r="A33" s="1">
        <v>45323</v>
      </c>
      <c r="B33" t="s">
        <v>5</v>
      </c>
      <c r="C33" t="s">
        <v>6</v>
      </c>
      <c r="D33">
        <v>1580</v>
      </c>
      <c r="E33">
        <v>4</v>
      </c>
    </row>
    <row r="34" spans="1:5" x14ac:dyDescent="0.25">
      <c r="A34" s="1">
        <v>45324</v>
      </c>
      <c r="B34" t="s">
        <v>5</v>
      </c>
      <c r="C34" t="s">
        <v>6</v>
      </c>
      <c r="D34">
        <v>685</v>
      </c>
      <c r="E34">
        <v>1</v>
      </c>
    </row>
    <row r="35" spans="1:5" x14ac:dyDescent="0.25">
      <c r="A35" s="1">
        <v>45325</v>
      </c>
      <c r="B35" t="s">
        <v>5</v>
      </c>
      <c r="C35" t="s">
        <v>8</v>
      </c>
      <c r="D35">
        <v>1757</v>
      </c>
      <c r="E35">
        <v>4</v>
      </c>
    </row>
    <row r="36" spans="1:5" x14ac:dyDescent="0.25">
      <c r="A36" s="1">
        <v>45326</v>
      </c>
      <c r="B36" t="s">
        <v>9</v>
      </c>
      <c r="C36" t="s">
        <v>7</v>
      </c>
      <c r="D36">
        <v>1877</v>
      </c>
      <c r="E36">
        <v>4</v>
      </c>
    </row>
    <row r="37" spans="1:5" x14ac:dyDescent="0.25">
      <c r="A37" s="1">
        <v>45327</v>
      </c>
      <c r="B37" t="s">
        <v>5</v>
      </c>
      <c r="C37" t="s">
        <v>8</v>
      </c>
      <c r="D37">
        <v>838</v>
      </c>
      <c r="E37">
        <v>2</v>
      </c>
    </row>
    <row r="38" spans="1:5" x14ac:dyDescent="0.25">
      <c r="A38" s="1">
        <v>45328</v>
      </c>
      <c r="B38" t="s">
        <v>5</v>
      </c>
      <c r="C38" t="s">
        <v>8</v>
      </c>
      <c r="D38">
        <v>360</v>
      </c>
      <c r="E38">
        <v>0</v>
      </c>
    </row>
    <row r="39" spans="1:5" x14ac:dyDescent="0.25">
      <c r="A39" s="1">
        <v>45329</v>
      </c>
      <c r="B39" t="s">
        <v>5</v>
      </c>
      <c r="C39" t="s">
        <v>6</v>
      </c>
      <c r="D39">
        <v>340</v>
      </c>
      <c r="E39">
        <v>4</v>
      </c>
    </row>
    <row r="40" spans="1:5" x14ac:dyDescent="0.25">
      <c r="A40" s="1">
        <v>45330</v>
      </c>
      <c r="B40" t="s">
        <v>9</v>
      </c>
      <c r="C40" t="s">
        <v>8</v>
      </c>
      <c r="D40">
        <v>1677</v>
      </c>
      <c r="E40">
        <v>4</v>
      </c>
    </row>
    <row r="41" spans="1:5" x14ac:dyDescent="0.25">
      <c r="A41" s="1">
        <v>45331</v>
      </c>
      <c r="B41" t="s">
        <v>9</v>
      </c>
      <c r="C41" t="s">
        <v>7</v>
      </c>
      <c r="D41">
        <v>533</v>
      </c>
      <c r="E41">
        <v>0</v>
      </c>
    </row>
    <row r="42" spans="1:5" x14ac:dyDescent="0.25">
      <c r="A42" s="1">
        <v>45332</v>
      </c>
      <c r="B42" t="s">
        <v>9</v>
      </c>
      <c r="C42" t="s">
        <v>6</v>
      </c>
      <c r="D42">
        <v>455</v>
      </c>
      <c r="E42">
        <v>2</v>
      </c>
    </row>
    <row r="43" spans="1:5" x14ac:dyDescent="0.25">
      <c r="A43" s="1">
        <v>45333</v>
      </c>
      <c r="B43" t="s">
        <v>5</v>
      </c>
      <c r="C43" t="s">
        <v>8</v>
      </c>
      <c r="D43">
        <v>855</v>
      </c>
      <c r="E43">
        <v>0</v>
      </c>
    </row>
    <row r="44" spans="1:5" x14ac:dyDescent="0.25">
      <c r="A44" s="1">
        <v>45334</v>
      </c>
      <c r="B44" t="s">
        <v>9</v>
      </c>
      <c r="C44" t="s">
        <v>8</v>
      </c>
      <c r="D44">
        <v>898</v>
      </c>
      <c r="E44">
        <v>4</v>
      </c>
    </row>
    <row r="45" spans="1:5" x14ac:dyDescent="0.25">
      <c r="A45" s="1">
        <v>45335</v>
      </c>
      <c r="B45" t="s">
        <v>9</v>
      </c>
      <c r="C45" t="s">
        <v>8</v>
      </c>
      <c r="D45">
        <v>363</v>
      </c>
      <c r="E45">
        <v>0</v>
      </c>
    </row>
    <row r="46" spans="1:5" x14ac:dyDescent="0.25">
      <c r="A46" s="1">
        <v>45336</v>
      </c>
      <c r="B46" t="s">
        <v>5</v>
      </c>
      <c r="C46" t="s">
        <v>7</v>
      </c>
      <c r="D46">
        <v>979</v>
      </c>
      <c r="E46">
        <v>2</v>
      </c>
    </row>
    <row r="47" spans="1:5" x14ac:dyDescent="0.25">
      <c r="A47" s="1">
        <v>45337</v>
      </c>
      <c r="B47" t="s">
        <v>5</v>
      </c>
      <c r="C47" t="s">
        <v>7</v>
      </c>
      <c r="D47">
        <v>1543</v>
      </c>
      <c r="E47">
        <v>2</v>
      </c>
    </row>
    <row r="48" spans="1:5" x14ac:dyDescent="0.25">
      <c r="A48" s="1">
        <v>45338</v>
      </c>
      <c r="B48" t="s">
        <v>5</v>
      </c>
      <c r="C48" t="s">
        <v>7</v>
      </c>
      <c r="D48">
        <v>252</v>
      </c>
      <c r="E48">
        <v>1</v>
      </c>
    </row>
    <row r="49" spans="1:5" x14ac:dyDescent="0.25">
      <c r="A49" s="1">
        <v>45339</v>
      </c>
      <c r="B49" t="s">
        <v>9</v>
      </c>
      <c r="C49" t="s">
        <v>7</v>
      </c>
      <c r="D49">
        <v>1653</v>
      </c>
      <c r="E49">
        <v>1</v>
      </c>
    </row>
    <row r="50" spans="1:5" x14ac:dyDescent="0.25">
      <c r="A50" s="1">
        <v>45340</v>
      </c>
      <c r="B50" t="s">
        <v>9</v>
      </c>
      <c r="C50" t="s">
        <v>6</v>
      </c>
      <c r="D50">
        <v>210</v>
      </c>
      <c r="E50">
        <v>0</v>
      </c>
    </row>
    <row r="51" spans="1:5" x14ac:dyDescent="0.25">
      <c r="A51" s="1">
        <v>45341</v>
      </c>
      <c r="B51" t="s">
        <v>5</v>
      </c>
      <c r="C51" t="s">
        <v>8</v>
      </c>
      <c r="D51">
        <v>1063</v>
      </c>
      <c r="E51">
        <v>4</v>
      </c>
    </row>
    <row r="52" spans="1:5" x14ac:dyDescent="0.25">
      <c r="A52" s="1">
        <v>45342</v>
      </c>
      <c r="B52" t="s">
        <v>5</v>
      </c>
      <c r="C52" t="s">
        <v>7</v>
      </c>
      <c r="D52">
        <v>298</v>
      </c>
      <c r="E52">
        <v>2</v>
      </c>
    </row>
    <row r="53" spans="1:5" x14ac:dyDescent="0.25">
      <c r="A53" s="1">
        <v>45343</v>
      </c>
      <c r="B53" t="s">
        <v>9</v>
      </c>
      <c r="C53" t="s">
        <v>6</v>
      </c>
      <c r="D53">
        <v>508</v>
      </c>
      <c r="E53">
        <v>2</v>
      </c>
    </row>
    <row r="54" spans="1:5" x14ac:dyDescent="0.25">
      <c r="A54" s="1">
        <v>45344</v>
      </c>
      <c r="B54" t="s">
        <v>9</v>
      </c>
      <c r="C54" t="s">
        <v>7</v>
      </c>
      <c r="D54">
        <v>1035</v>
      </c>
      <c r="E54">
        <v>4</v>
      </c>
    </row>
    <row r="55" spans="1:5" x14ac:dyDescent="0.25">
      <c r="A55" s="1">
        <v>45345</v>
      </c>
      <c r="B55" t="s">
        <v>9</v>
      </c>
      <c r="C55" t="s">
        <v>7</v>
      </c>
      <c r="D55">
        <v>1051</v>
      </c>
      <c r="E55">
        <v>3</v>
      </c>
    </row>
    <row r="56" spans="1:5" x14ac:dyDescent="0.25">
      <c r="A56" s="1">
        <v>45346</v>
      </c>
      <c r="B56" t="s">
        <v>9</v>
      </c>
      <c r="C56" t="s">
        <v>6</v>
      </c>
      <c r="D56">
        <v>1404</v>
      </c>
      <c r="E56">
        <v>1</v>
      </c>
    </row>
    <row r="57" spans="1:5" x14ac:dyDescent="0.25">
      <c r="A57" s="1">
        <v>45347</v>
      </c>
      <c r="B57" t="s">
        <v>5</v>
      </c>
      <c r="C57" t="s">
        <v>8</v>
      </c>
      <c r="D57">
        <v>1441</v>
      </c>
      <c r="E57">
        <v>2</v>
      </c>
    </row>
    <row r="58" spans="1:5" x14ac:dyDescent="0.25">
      <c r="A58" s="1">
        <v>45348</v>
      </c>
      <c r="B58" t="s">
        <v>9</v>
      </c>
      <c r="C58" t="s">
        <v>7</v>
      </c>
      <c r="D58">
        <v>545</v>
      </c>
      <c r="E58">
        <v>4</v>
      </c>
    </row>
    <row r="59" spans="1:5" x14ac:dyDescent="0.25">
      <c r="A59" s="1">
        <v>45349</v>
      </c>
      <c r="B59" t="s">
        <v>5</v>
      </c>
      <c r="C59" t="s">
        <v>7</v>
      </c>
      <c r="D59">
        <v>1404</v>
      </c>
      <c r="E59">
        <v>3</v>
      </c>
    </row>
    <row r="60" spans="1:5" x14ac:dyDescent="0.25">
      <c r="A60" s="1">
        <v>45350</v>
      </c>
      <c r="B60" t="s">
        <v>9</v>
      </c>
      <c r="C60" t="s">
        <v>6</v>
      </c>
      <c r="D60">
        <v>1285</v>
      </c>
      <c r="E60">
        <v>1</v>
      </c>
    </row>
    <row r="61" spans="1:5" x14ac:dyDescent="0.25">
      <c r="A61" s="1">
        <v>45351</v>
      </c>
      <c r="B61" t="s">
        <v>5</v>
      </c>
      <c r="C61" t="s">
        <v>8</v>
      </c>
      <c r="D61">
        <v>816</v>
      </c>
      <c r="E61">
        <v>4</v>
      </c>
    </row>
    <row r="62" spans="1:5" x14ac:dyDescent="0.25">
      <c r="A62" s="1">
        <v>45352</v>
      </c>
      <c r="B62" t="s">
        <v>5</v>
      </c>
      <c r="C62" t="s">
        <v>7</v>
      </c>
      <c r="D62">
        <v>342</v>
      </c>
      <c r="E62">
        <v>0</v>
      </c>
    </row>
    <row r="63" spans="1:5" x14ac:dyDescent="0.25">
      <c r="A63" s="1">
        <v>45353</v>
      </c>
      <c r="B63" t="s">
        <v>9</v>
      </c>
      <c r="C63" t="s">
        <v>8</v>
      </c>
      <c r="D63">
        <v>1283</v>
      </c>
      <c r="E63">
        <v>1</v>
      </c>
    </row>
    <row r="64" spans="1:5" x14ac:dyDescent="0.25">
      <c r="A64" s="1">
        <v>45354</v>
      </c>
      <c r="B64" t="s">
        <v>5</v>
      </c>
      <c r="C64" t="s">
        <v>8</v>
      </c>
      <c r="D64">
        <v>1426</v>
      </c>
      <c r="E64">
        <v>4</v>
      </c>
    </row>
    <row r="65" spans="1:5" x14ac:dyDescent="0.25">
      <c r="A65" s="1">
        <v>45355</v>
      </c>
      <c r="B65" t="s">
        <v>5</v>
      </c>
      <c r="C65" t="s">
        <v>8</v>
      </c>
      <c r="D65">
        <v>1500</v>
      </c>
      <c r="E65">
        <v>3</v>
      </c>
    </row>
    <row r="66" spans="1:5" x14ac:dyDescent="0.25">
      <c r="A66" s="1">
        <v>45356</v>
      </c>
      <c r="B66" t="s">
        <v>5</v>
      </c>
      <c r="C66" t="s">
        <v>8</v>
      </c>
      <c r="D66">
        <v>979</v>
      </c>
      <c r="E66">
        <v>0</v>
      </c>
    </row>
    <row r="67" spans="1:5" x14ac:dyDescent="0.25">
      <c r="A67" s="1">
        <v>45357</v>
      </c>
      <c r="B67" t="s">
        <v>5</v>
      </c>
      <c r="C67" t="s">
        <v>8</v>
      </c>
      <c r="D67">
        <v>1341</v>
      </c>
      <c r="E67">
        <v>4</v>
      </c>
    </row>
    <row r="68" spans="1:5" x14ac:dyDescent="0.25">
      <c r="A68" s="1">
        <v>45358</v>
      </c>
      <c r="B68" t="s">
        <v>9</v>
      </c>
      <c r="C68" t="s">
        <v>6</v>
      </c>
      <c r="D68">
        <v>384</v>
      </c>
      <c r="E68">
        <v>3</v>
      </c>
    </row>
    <row r="69" spans="1:5" x14ac:dyDescent="0.25">
      <c r="A69" s="1">
        <v>45359</v>
      </c>
      <c r="B69" t="s">
        <v>5</v>
      </c>
      <c r="C69" t="s">
        <v>7</v>
      </c>
      <c r="D69">
        <v>1565</v>
      </c>
      <c r="E69">
        <v>0</v>
      </c>
    </row>
    <row r="70" spans="1:5" x14ac:dyDescent="0.25">
      <c r="A70" s="1">
        <v>45360</v>
      </c>
      <c r="B70" t="s">
        <v>9</v>
      </c>
      <c r="C70" t="s">
        <v>6</v>
      </c>
      <c r="D70">
        <v>618</v>
      </c>
      <c r="E70">
        <v>2</v>
      </c>
    </row>
    <row r="71" spans="1:5" x14ac:dyDescent="0.25">
      <c r="A71" s="1">
        <v>45361</v>
      </c>
      <c r="B71" t="s">
        <v>5</v>
      </c>
      <c r="C71" t="s">
        <v>8</v>
      </c>
      <c r="D71">
        <v>1732</v>
      </c>
      <c r="E71">
        <v>2</v>
      </c>
    </row>
    <row r="72" spans="1:5" x14ac:dyDescent="0.25">
      <c r="A72" s="1">
        <v>45362</v>
      </c>
      <c r="B72" t="s">
        <v>9</v>
      </c>
      <c r="C72" t="s">
        <v>8</v>
      </c>
      <c r="D72">
        <v>953</v>
      </c>
      <c r="E72">
        <v>0</v>
      </c>
    </row>
    <row r="73" spans="1:5" x14ac:dyDescent="0.25">
      <c r="A73" s="1">
        <v>45363</v>
      </c>
      <c r="B73" t="s">
        <v>5</v>
      </c>
      <c r="C73" t="s">
        <v>7</v>
      </c>
      <c r="D73">
        <v>1650</v>
      </c>
      <c r="E73">
        <v>4</v>
      </c>
    </row>
    <row r="74" spans="1:5" x14ac:dyDescent="0.25">
      <c r="A74" s="1">
        <v>45364</v>
      </c>
      <c r="B74" t="s">
        <v>5</v>
      </c>
      <c r="C74" t="s">
        <v>7</v>
      </c>
      <c r="D74">
        <v>1264</v>
      </c>
      <c r="E74">
        <v>0</v>
      </c>
    </row>
    <row r="75" spans="1:5" x14ac:dyDescent="0.25">
      <c r="A75" s="1">
        <v>45365</v>
      </c>
      <c r="B75" t="s">
        <v>9</v>
      </c>
      <c r="C75" t="s">
        <v>6</v>
      </c>
      <c r="D75">
        <v>326</v>
      </c>
      <c r="E75">
        <v>3</v>
      </c>
    </row>
    <row r="76" spans="1:5" x14ac:dyDescent="0.25">
      <c r="A76" s="1">
        <v>45366</v>
      </c>
      <c r="B76" t="s">
        <v>9</v>
      </c>
      <c r="C76" t="s">
        <v>6</v>
      </c>
      <c r="D76">
        <v>1515</v>
      </c>
      <c r="E76">
        <v>3</v>
      </c>
    </row>
    <row r="77" spans="1:5" x14ac:dyDescent="0.25">
      <c r="A77" s="1">
        <v>45367</v>
      </c>
      <c r="B77" t="s">
        <v>5</v>
      </c>
      <c r="C77" t="s">
        <v>6</v>
      </c>
      <c r="D77">
        <v>1463</v>
      </c>
      <c r="E77">
        <v>3</v>
      </c>
    </row>
    <row r="78" spans="1:5" x14ac:dyDescent="0.25">
      <c r="A78" s="1">
        <v>45368</v>
      </c>
      <c r="B78" t="s">
        <v>9</v>
      </c>
      <c r="C78" t="s">
        <v>8</v>
      </c>
      <c r="D78">
        <v>278</v>
      </c>
      <c r="E78">
        <v>0</v>
      </c>
    </row>
    <row r="79" spans="1:5" x14ac:dyDescent="0.25">
      <c r="A79" s="1">
        <v>45369</v>
      </c>
      <c r="B79" t="s">
        <v>5</v>
      </c>
      <c r="C79" t="s">
        <v>6</v>
      </c>
      <c r="D79">
        <v>1021</v>
      </c>
      <c r="E79">
        <v>1</v>
      </c>
    </row>
    <row r="80" spans="1:5" x14ac:dyDescent="0.25">
      <c r="A80" s="1">
        <v>45370</v>
      </c>
      <c r="B80" t="s">
        <v>9</v>
      </c>
      <c r="C80" t="s">
        <v>7</v>
      </c>
      <c r="D80">
        <v>1113</v>
      </c>
      <c r="E80">
        <v>1</v>
      </c>
    </row>
    <row r="81" spans="1:5" x14ac:dyDescent="0.25">
      <c r="A81" s="1">
        <v>45371</v>
      </c>
      <c r="B81" t="s">
        <v>5</v>
      </c>
      <c r="C81" t="s">
        <v>8</v>
      </c>
      <c r="D81">
        <v>1753</v>
      </c>
      <c r="E81">
        <v>1</v>
      </c>
    </row>
    <row r="82" spans="1:5" x14ac:dyDescent="0.25">
      <c r="A82" s="1">
        <v>45372</v>
      </c>
      <c r="B82" t="s">
        <v>9</v>
      </c>
      <c r="C82" t="s">
        <v>7</v>
      </c>
      <c r="D82">
        <v>1493</v>
      </c>
      <c r="E82">
        <v>0</v>
      </c>
    </row>
    <row r="83" spans="1:5" x14ac:dyDescent="0.25">
      <c r="A83" s="1">
        <v>45373</v>
      </c>
      <c r="B83" t="s">
        <v>5</v>
      </c>
      <c r="C83" t="s">
        <v>8</v>
      </c>
      <c r="D83">
        <v>788</v>
      </c>
      <c r="E83">
        <v>4</v>
      </c>
    </row>
    <row r="84" spans="1:5" x14ac:dyDescent="0.25">
      <c r="A84" s="1">
        <v>45374</v>
      </c>
      <c r="B84" t="s">
        <v>9</v>
      </c>
      <c r="C84" t="s">
        <v>6</v>
      </c>
      <c r="D84">
        <v>998</v>
      </c>
      <c r="E84">
        <v>0</v>
      </c>
    </row>
    <row r="85" spans="1:5" x14ac:dyDescent="0.25">
      <c r="A85" s="1">
        <v>45375</v>
      </c>
      <c r="B85" t="s">
        <v>9</v>
      </c>
      <c r="C85" t="s">
        <v>6</v>
      </c>
      <c r="D85">
        <v>606</v>
      </c>
      <c r="E85">
        <v>3</v>
      </c>
    </row>
    <row r="86" spans="1:5" x14ac:dyDescent="0.25">
      <c r="A86" s="1">
        <v>45376</v>
      </c>
      <c r="B86" t="s">
        <v>9</v>
      </c>
      <c r="C86" t="s">
        <v>6</v>
      </c>
      <c r="D86">
        <v>1566</v>
      </c>
      <c r="E86">
        <v>3</v>
      </c>
    </row>
    <row r="87" spans="1:5" x14ac:dyDescent="0.25">
      <c r="A87" s="1">
        <v>45377</v>
      </c>
      <c r="B87" t="s">
        <v>9</v>
      </c>
      <c r="C87" t="s">
        <v>7</v>
      </c>
      <c r="D87">
        <v>1658</v>
      </c>
      <c r="E87">
        <v>0</v>
      </c>
    </row>
    <row r="88" spans="1:5" x14ac:dyDescent="0.25">
      <c r="A88" s="1">
        <v>45378</v>
      </c>
      <c r="B88" t="s">
        <v>9</v>
      </c>
      <c r="C88" t="s">
        <v>8</v>
      </c>
      <c r="D88">
        <v>552</v>
      </c>
      <c r="E88">
        <v>1</v>
      </c>
    </row>
    <row r="89" spans="1:5" x14ac:dyDescent="0.25">
      <c r="A89" s="1">
        <v>45379</v>
      </c>
      <c r="B89" t="s">
        <v>5</v>
      </c>
      <c r="C89" t="s">
        <v>7</v>
      </c>
      <c r="D89">
        <v>1721</v>
      </c>
      <c r="E89">
        <v>4</v>
      </c>
    </row>
    <row r="90" spans="1:5" x14ac:dyDescent="0.25">
      <c r="A90" s="1">
        <v>45380</v>
      </c>
      <c r="B90" t="s">
        <v>5</v>
      </c>
      <c r="C90" t="s">
        <v>6</v>
      </c>
      <c r="D90">
        <v>1993</v>
      </c>
      <c r="E90">
        <v>2</v>
      </c>
    </row>
    <row r="91" spans="1:5" x14ac:dyDescent="0.25">
      <c r="A91" s="1">
        <v>45381</v>
      </c>
      <c r="B91" t="s">
        <v>9</v>
      </c>
      <c r="C91" t="s">
        <v>6</v>
      </c>
      <c r="D91">
        <v>1126</v>
      </c>
      <c r="E91">
        <v>3</v>
      </c>
    </row>
    <row r="92" spans="1:5" x14ac:dyDescent="0.25">
      <c r="A92" s="1">
        <v>45382</v>
      </c>
      <c r="B92" t="s">
        <v>5</v>
      </c>
      <c r="C92" t="s">
        <v>8</v>
      </c>
      <c r="D92">
        <v>981</v>
      </c>
      <c r="E92">
        <v>2</v>
      </c>
    </row>
    <row r="93" spans="1:5" x14ac:dyDescent="0.25">
      <c r="A93" s="1">
        <v>45383</v>
      </c>
      <c r="B93" t="s">
        <v>5</v>
      </c>
      <c r="C93" t="s">
        <v>6</v>
      </c>
      <c r="D93">
        <v>396</v>
      </c>
      <c r="E93">
        <v>2</v>
      </c>
    </row>
    <row r="94" spans="1:5" x14ac:dyDescent="0.25">
      <c r="A94" s="1">
        <v>45384</v>
      </c>
      <c r="B94" t="s">
        <v>9</v>
      </c>
      <c r="C94" t="s">
        <v>8</v>
      </c>
      <c r="D94">
        <v>1800</v>
      </c>
      <c r="E94">
        <v>1</v>
      </c>
    </row>
    <row r="95" spans="1:5" x14ac:dyDescent="0.25">
      <c r="A95" s="1">
        <v>45385</v>
      </c>
      <c r="B95" t="s">
        <v>9</v>
      </c>
      <c r="C95" t="s">
        <v>6</v>
      </c>
      <c r="D95">
        <v>1367</v>
      </c>
      <c r="E95">
        <v>0</v>
      </c>
    </row>
    <row r="96" spans="1:5" x14ac:dyDescent="0.25">
      <c r="A96" s="1">
        <v>45386</v>
      </c>
      <c r="B96" t="s">
        <v>9</v>
      </c>
      <c r="C96" t="s">
        <v>6</v>
      </c>
      <c r="D96">
        <v>1622</v>
      </c>
      <c r="E96">
        <v>1</v>
      </c>
    </row>
    <row r="97" spans="1:5" x14ac:dyDescent="0.25">
      <c r="A97" s="1">
        <v>45387</v>
      </c>
      <c r="B97" t="s">
        <v>9</v>
      </c>
      <c r="C97" t="s">
        <v>7</v>
      </c>
      <c r="D97">
        <v>1005</v>
      </c>
      <c r="E97">
        <v>3</v>
      </c>
    </row>
    <row r="98" spans="1:5" x14ac:dyDescent="0.25">
      <c r="A98" s="1">
        <v>45388</v>
      </c>
      <c r="B98" t="s">
        <v>9</v>
      </c>
      <c r="C98" t="s">
        <v>8</v>
      </c>
      <c r="D98">
        <v>583</v>
      </c>
      <c r="E98">
        <v>0</v>
      </c>
    </row>
    <row r="99" spans="1:5" x14ac:dyDescent="0.25">
      <c r="A99" s="1">
        <v>45389</v>
      </c>
      <c r="B99" t="s">
        <v>5</v>
      </c>
      <c r="C99" t="s">
        <v>6</v>
      </c>
      <c r="D99">
        <v>1768</v>
      </c>
      <c r="E99">
        <v>4</v>
      </c>
    </row>
    <row r="100" spans="1:5" x14ac:dyDescent="0.25">
      <c r="A100" s="1">
        <v>45390</v>
      </c>
      <c r="B100" t="s">
        <v>9</v>
      </c>
      <c r="C100" t="s">
        <v>6</v>
      </c>
      <c r="D100">
        <v>914</v>
      </c>
      <c r="E100">
        <v>1</v>
      </c>
    </row>
    <row r="101" spans="1:5" x14ac:dyDescent="0.25">
      <c r="A101" s="1">
        <v>45391</v>
      </c>
      <c r="B101" t="s">
        <v>9</v>
      </c>
      <c r="C101" t="s">
        <v>8</v>
      </c>
      <c r="D101">
        <v>278</v>
      </c>
      <c r="E101">
        <v>2</v>
      </c>
    </row>
  </sheetData>
  <mergeCells count="2">
    <mergeCell ref="H8:I8"/>
    <mergeCell ref="H7:I7"/>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7CC34-DA57-40F4-B8EE-0581364754B7}">
  <dimension ref="A1:B6"/>
  <sheetViews>
    <sheetView workbookViewId="0">
      <selection activeCell="C12" sqref="C12"/>
    </sheetView>
  </sheetViews>
  <sheetFormatPr defaultRowHeight="13.8" x14ac:dyDescent="0.25"/>
  <cols>
    <col min="1" max="1" width="12.59765625" bestFit="1" customWidth="1"/>
    <col min="2" max="2" width="15.3984375" bestFit="1" customWidth="1"/>
    <col min="3" max="10" width="8.296875" customWidth="1"/>
    <col min="11" max="32" width="9.296875" customWidth="1"/>
    <col min="33" max="41" width="8.296875" customWidth="1"/>
    <col min="42" max="61" width="9.296875" customWidth="1"/>
    <col min="62" max="70" width="8.296875" customWidth="1"/>
    <col min="71" max="92" width="9.296875" customWidth="1"/>
    <col min="93" max="101" width="8.296875" customWidth="1"/>
    <col min="102" max="102" width="10.5" customWidth="1"/>
  </cols>
  <sheetData>
    <row r="1" spans="1:2" x14ac:dyDescent="0.25">
      <c r="A1" s="2" t="s">
        <v>12</v>
      </c>
      <c r="B1" t="s">
        <v>14</v>
      </c>
    </row>
    <row r="2" spans="1:2" x14ac:dyDescent="0.25">
      <c r="A2" s="3" t="s">
        <v>15</v>
      </c>
      <c r="B2">
        <v>57</v>
      </c>
    </row>
    <row r="3" spans="1:2" x14ac:dyDescent="0.25">
      <c r="A3" s="3" t="s">
        <v>16</v>
      </c>
      <c r="B3">
        <v>65</v>
      </c>
    </row>
    <row r="4" spans="1:2" x14ac:dyDescent="0.25">
      <c r="A4" s="3" t="s">
        <v>17</v>
      </c>
      <c r="B4">
        <v>57</v>
      </c>
    </row>
    <row r="5" spans="1:2" x14ac:dyDescent="0.25">
      <c r="A5" s="3" t="s">
        <v>18</v>
      </c>
      <c r="B5">
        <v>14</v>
      </c>
    </row>
    <row r="6" spans="1:2" x14ac:dyDescent="0.25">
      <c r="A6" s="3" t="s">
        <v>11</v>
      </c>
      <c r="B6">
        <v>193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87101-CBB9-4080-AE15-7845DFB68C38}">
  <dimension ref="A1:D6"/>
  <sheetViews>
    <sheetView workbookViewId="0">
      <selection activeCell="A5" sqref="A5"/>
    </sheetView>
  </sheetViews>
  <sheetFormatPr defaultRowHeight="13.8" x14ac:dyDescent="0.25"/>
  <cols>
    <col min="1" max="1" width="15.3984375" bestFit="1" customWidth="1"/>
    <col min="2" max="2" width="16" bestFit="1" customWidth="1"/>
    <col min="3" max="3" width="8.09765625" bestFit="1" customWidth="1"/>
    <col min="4" max="4" width="11.09765625" bestFit="1" customWidth="1"/>
    <col min="5" max="40" width="3.8984375" customWidth="1"/>
    <col min="41" max="97" width="4.8984375" customWidth="1"/>
    <col min="98" max="98" width="10.5" customWidth="1"/>
  </cols>
  <sheetData>
    <row r="1" spans="1:4" x14ac:dyDescent="0.25">
      <c r="A1" s="2" t="s">
        <v>14</v>
      </c>
      <c r="B1" s="2" t="s">
        <v>10</v>
      </c>
    </row>
    <row r="2" spans="1:4" x14ac:dyDescent="0.25">
      <c r="A2" s="2" t="s">
        <v>12</v>
      </c>
      <c r="B2" t="s">
        <v>5</v>
      </c>
      <c r="C2" t="s">
        <v>9</v>
      </c>
      <c r="D2" t="s">
        <v>11</v>
      </c>
    </row>
    <row r="3" spans="1:4" x14ac:dyDescent="0.25">
      <c r="A3" s="3" t="s">
        <v>6</v>
      </c>
      <c r="B3">
        <v>40</v>
      </c>
      <c r="C3">
        <v>38</v>
      </c>
      <c r="D3">
        <v>78</v>
      </c>
    </row>
    <row r="4" spans="1:4" x14ac:dyDescent="0.25">
      <c r="A4" s="3" t="s">
        <v>8</v>
      </c>
      <c r="B4">
        <v>41</v>
      </c>
      <c r="C4">
        <v>21</v>
      </c>
      <c r="D4">
        <v>62</v>
      </c>
    </row>
    <row r="5" spans="1:4" x14ac:dyDescent="0.25">
      <c r="A5" s="3" t="s">
        <v>7</v>
      </c>
      <c r="B5">
        <v>26</v>
      </c>
      <c r="C5">
        <v>27</v>
      </c>
      <c r="D5">
        <v>53</v>
      </c>
    </row>
    <row r="6" spans="1:4" x14ac:dyDescent="0.25">
      <c r="A6" s="3" t="s">
        <v>11</v>
      </c>
      <c r="B6">
        <v>107</v>
      </c>
      <c r="C6">
        <v>86</v>
      </c>
      <c r="D6">
        <v>193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81E23-0AFE-41E1-B8AA-322EE908D86E}">
  <dimension ref="A2:B6"/>
  <sheetViews>
    <sheetView workbookViewId="0">
      <selection activeCell="B3" sqref="B3"/>
    </sheetView>
  </sheetViews>
  <sheetFormatPr defaultRowHeight="13.8" x14ac:dyDescent="0.25"/>
  <cols>
    <col min="1" max="1" width="12.59765625" bestFit="1" customWidth="1"/>
    <col min="2" max="2" width="20.3984375" bestFit="1" customWidth="1"/>
    <col min="3" max="3" width="15.5" customWidth="1"/>
    <col min="4" max="4" width="10.5" customWidth="1"/>
  </cols>
  <sheetData>
    <row r="2" spans="1:2" x14ac:dyDescent="0.25">
      <c r="A2" s="2" t="s">
        <v>12</v>
      </c>
      <c r="B2" t="s">
        <v>13</v>
      </c>
    </row>
    <row r="3" spans="1:2" x14ac:dyDescent="0.25">
      <c r="A3" s="3" t="s">
        <v>6</v>
      </c>
      <c r="B3">
        <v>40811</v>
      </c>
    </row>
    <row r="4" spans="1:2" x14ac:dyDescent="0.25">
      <c r="A4" s="3" t="s">
        <v>8</v>
      </c>
      <c r="B4">
        <v>33802</v>
      </c>
    </row>
    <row r="5" spans="1:2" x14ac:dyDescent="0.25">
      <c r="A5" s="3" t="s">
        <v>7</v>
      </c>
      <c r="B5">
        <v>35999</v>
      </c>
    </row>
    <row r="6" spans="1:2" x14ac:dyDescent="0.25">
      <c r="A6" s="3" t="s">
        <v>11</v>
      </c>
      <c r="B6">
        <v>110612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125E1-6DA1-4DBB-A260-2AF89D4EC0B0}">
  <dimension ref="A1:B4"/>
  <sheetViews>
    <sheetView workbookViewId="0">
      <selection activeCell="B10" sqref="B10"/>
    </sheetView>
  </sheetViews>
  <sheetFormatPr defaultRowHeight="13.8" x14ac:dyDescent="0.25"/>
  <cols>
    <col min="1" max="1" width="12.59765625" bestFit="1" customWidth="1"/>
    <col min="2" max="2" width="20.3984375" bestFit="1" customWidth="1"/>
  </cols>
  <sheetData>
    <row r="1" spans="1:2" x14ac:dyDescent="0.25">
      <c r="A1" s="2" t="s">
        <v>12</v>
      </c>
      <c r="B1" t="s">
        <v>13</v>
      </c>
    </row>
    <row r="2" spans="1:2" x14ac:dyDescent="0.25">
      <c r="A2" s="3" t="s">
        <v>5</v>
      </c>
      <c r="B2">
        <v>60406</v>
      </c>
    </row>
    <row r="3" spans="1:2" x14ac:dyDescent="0.25">
      <c r="A3" s="3" t="s">
        <v>9</v>
      </c>
      <c r="B3">
        <v>50206</v>
      </c>
    </row>
    <row r="4" spans="1:2" x14ac:dyDescent="0.25">
      <c r="A4" s="3" t="s">
        <v>11</v>
      </c>
      <c r="B4">
        <v>110612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0AA26-03C7-41A4-B2B5-A37EBFE3A73F}">
  <dimension ref="A1:B4"/>
  <sheetViews>
    <sheetView workbookViewId="0">
      <selection activeCell="A3" sqref="A3"/>
    </sheetView>
  </sheetViews>
  <sheetFormatPr defaultRowHeight="13.8" x14ac:dyDescent="0.25"/>
  <cols>
    <col min="1" max="1" width="12.3984375" customWidth="1"/>
    <col min="2" max="2" width="14.796875" customWidth="1"/>
  </cols>
  <sheetData>
    <row r="1" spans="1:2" x14ac:dyDescent="0.25">
      <c r="A1" s="2" t="s">
        <v>12</v>
      </c>
      <c r="B1" t="s">
        <v>14</v>
      </c>
    </row>
    <row r="2" spans="1:2" x14ac:dyDescent="0.25">
      <c r="A2" s="3" t="s">
        <v>5</v>
      </c>
      <c r="B2">
        <v>107</v>
      </c>
    </row>
    <row r="3" spans="1:2" x14ac:dyDescent="0.25">
      <c r="A3" s="3" t="s">
        <v>9</v>
      </c>
      <c r="B3">
        <v>86</v>
      </c>
    </row>
    <row r="4" spans="1:2" x14ac:dyDescent="0.25">
      <c r="A4" s="3" t="s">
        <v>11</v>
      </c>
      <c r="B4">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12515-6C9F-4612-8E99-09CDBF8B0EDB}">
  <sheetPr>
    <tabColor theme="1"/>
  </sheetPr>
  <dimension ref="A1"/>
  <sheetViews>
    <sheetView showGridLines="0" showRowColHeaders="0" tabSelected="1" topLeftCell="K1" zoomScale="40" zoomScaleNormal="40" workbookViewId="0">
      <selection activeCell="BB36" sqref="BB36"/>
    </sheetView>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56CBE1B-C7FB-4A9F-B72C-D25F379705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classic</vt:lpstr>
      <vt:lpstr>date &amp; Incidents</vt:lpstr>
      <vt:lpstr>Incidents</vt:lpstr>
      <vt:lpstr>high location</vt:lpstr>
      <vt:lpstr>time</vt:lpstr>
      <vt:lpstr>Incidents &amp; time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42022008</dc:creator>
  <cp:lastModifiedBy>42022008</cp:lastModifiedBy>
  <dcterms:created xsi:type="dcterms:W3CDTF">2025-02-18T19:56:18Z</dcterms:created>
  <dcterms:modified xsi:type="dcterms:W3CDTF">2025-03-09T20:12:05Z</dcterms:modified>
</cp:coreProperties>
</file>